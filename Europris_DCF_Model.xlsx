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ubaiyat Shams\Downloads\Project\Europris DCF Model\"/>
    </mc:Choice>
  </mc:AlternateContent>
  <xr:revisionPtr revIDLastSave="0" documentId="13_ncr:2001_{074C0C6C-39C7-4F60-8307-BA7FCBD7CF2B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Historicals" sheetId="2" r:id="rId1"/>
    <sheet name="Price Data" sheetId="7" r:id="rId2"/>
    <sheet name="Beta" sheetId="8" r:id="rId3"/>
    <sheet name="Assumptions" sheetId="3" r:id="rId4"/>
    <sheet name="Forecast" sheetId="4" r:id="rId5"/>
    <sheet name="DCF" sheetId="5" r:id="rId6"/>
    <sheet name="Sensitivity" sheetId="6" r:id="rId7"/>
  </sheets>
  <externalReferences>
    <externalReference r:id="rId8"/>
  </externalReferenc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3" l="1"/>
  <c r="C30" i="3"/>
  <c r="C27" i="3"/>
  <c r="B11" i="8"/>
  <c r="B10" i="8"/>
  <c r="B9" i="8"/>
  <c r="B8" i="8"/>
  <c r="B5" i="8"/>
  <c r="G10" i="6"/>
  <c r="G9" i="6"/>
  <c r="G8" i="6"/>
  <c r="G7" i="6"/>
  <c r="G6" i="6"/>
  <c r="F10" i="6"/>
  <c r="F9" i="6"/>
  <c r="F8" i="6"/>
  <c r="F7" i="6"/>
  <c r="F6" i="6"/>
  <c r="E10" i="6"/>
  <c r="E9" i="6"/>
  <c r="E8" i="6"/>
  <c r="E7" i="6"/>
  <c r="E6" i="6"/>
  <c r="D10" i="6"/>
  <c r="D9" i="6"/>
  <c r="D8" i="6"/>
  <c r="D7" i="6"/>
  <c r="D6" i="6"/>
  <c r="C10" i="6"/>
  <c r="C9" i="6"/>
  <c r="C8" i="6"/>
  <c r="C7" i="6"/>
  <c r="C6" i="6"/>
  <c r="D12" i="4"/>
  <c r="E12" i="4"/>
  <c r="F12" i="4"/>
  <c r="G12" i="4"/>
  <c r="C12" i="4"/>
  <c r="C27" i="5"/>
  <c r="C29" i="3"/>
  <c r="C25" i="5"/>
  <c r="C23" i="5"/>
  <c r="G7" i="5"/>
  <c r="F7" i="5"/>
  <c r="E7" i="5"/>
  <c r="D7" i="5"/>
  <c r="C7" i="5"/>
  <c r="C7" i="4"/>
  <c r="D7" i="4" s="1"/>
  <c r="E7" i="4" s="1"/>
  <c r="F7" i="4" s="1"/>
  <c r="G7" i="4" s="1"/>
  <c r="C6" i="4"/>
  <c r="B12" i="8" l="1"/>
  <c r="B13" i="8"/>
  <c r="B14" i="8"/>
  <c r="B17" i="8"/>
  <c r="C23" i="3" s="1"/>
  <c r="C24" i="3" s="1"/>
  <c r="C8" i="4"/>
  <c r="D6" i="4"/>
  <c r="F15" i="5" l="1"/>
  <c r="G15" i="5"/>
  <c r="C15" i="5"/>
  <c r="D15" i="5"/>
  <c r="E15" i="5"/>
  <c r="C12" i="5"/>
  <c r="C11" i="5"/>
  <c r="C15" i="4"/>
  <c r="C10" i="5" s="1"/>
  <c r="C10" i="4"/>
  <c r="C9" i="4" s="1"/>
  <c r="D8" i="4"/>
  <c r="E6" i="4"/>
  <c r="C13" i="4"/>
  <c r="C11" i="4" l="1"/>
  <c r="E8" i="4"/>
  <c r="F6" i="4"/>
  <c r="C16" i="4"/>
  <c r="C14" i="4"/>
  <c r="D10" i="4"/>
  <c r="D15" i="4"/>
  <c r="D10" i="5" s="1"/>
  <c r="D12" i="5"/>
  <c r="D11" i="5"/>
  <c r="E15" i="4" l="1"/>
  <c r="E10" i="5" s="1"/>
  <c r="E12" i="5"/>
  <c r="E11" i="5"/>
  <c r="E10" i="4"/>
  <c r="E9" i="4" s="1"/>
  <c r="D11" i="4"/>
  <c r="D13" i="4"/>
  <c r="D9" i="4"/>
  <c r="C6" i="5"/>
  <c r="C17" i="4"/>
  <c r="F8" i="4"/>
  <c r="G6" i="4"/>
  <c r="G8" i="4" s="1"/>
  <c r="G12" i="5" l="1"/>
  <c r="G15" i="4"/>
  <c r="G10" i="5" s="1"/>
  <c r="G11" i="5"/>
  <c r="G10" i="4"/>
  <c r="G9" i="4" s="1"/>
  <c r="F15" i="4"/>
  <c r="F10" i="5" s="1"/>
  <c r="F12" i="5"/>
  <c r="F11" i="5"/>
  <c r="F10" i="4"/>
  <c r="F9" i="4" s="1"/>
  <c r="C8" i="5"/>
  <c r="C9" i="5" s="1"/>
  <c r="C13" i="5" s="1"/>
  <c r="C16" i="5" s="1"/>
  <c r="D14" i="4"/>
  <c r="D16" i="4"/>
  <c r="E11" i="4"/>
  <c r="E13" i="4"/>
  <c r="D6" i="5" l="1"/>
  <c r="D17" i="4"/>
  <c r="G11" i="4"/>
  <c r="G13" i="4"/>
  <c r="E16" i="4"/>
  <c r="E14" i="4"/>
  <c r="F11" i="4"/>
  <c r="F13" i="4"/>
  <c r="F14" i="4" l="1"/>
  <c r="F16" i="4"/>
  <c r="D8" i="5"/>
  <c r="D9" i="5" s="1"/>
  <c r="D13" i="5" s="1"/>
  <c r="D16" i="5" s="1"/>
  <c r="E6" i="5"/>
  <c r="E17" i="4"/>
  <c r="G14" i="4"/>
  <c r="G16" i="4"/>
  <c r="G6" i="5" l="1"/>
  <c r="G17" i="4"/>
  <c r="E8" i="5"/>
  <c r="E9" i="5" s="1"/>
  <c r="E13" i="5" s="1"/>
  <c r="E16" i="5" s="1"/>
  <c r="F6" i="5"/>
  <c r="F17" i="4"/>
  <c r="F8" i="5" l="1"/>
  <c r="F9" i="5" s="1"/>
  <c r="F13" i="5" s="1"/>
  <c r="F16" i="5" s="1"/>
  <c r="G8" i="5"/>
  <c r="G9" i="5" s="1"/>
  <c r="G13" i="5" s="1"/>
  <c r="C20" i="5" s="1"/>
  <c r="C21" i="5" l="1"/>
  <c r="G16" i="5"/>
  <c r="C19" i="5" s="1"/>
  <c r="C22" i="5" l="1"/>
  <c r="C24" i="5" l="1"/>
  <c r="C26" i="5" s="1"/>
  <c r="C28" i="5" s="1"/>
  <c r="C29" i="5"/>
</calcChain>
</file>

<file path=xl/sharedStrings.xml><?xml version="1.0" encoding="utf-8"?>
<sst xmlns="http://schemas.openxmlformats.org/spreadsheetml/2006/main" count="263" uniqueCount="154">
  <si>
    <t>Line item</t>
  </si>
  <si>
    <t>Segment Norway sales</t>
  </si>
  <si>
    <t>Terminal growth rate</t>
  </si>
  <si>
    <t>FY2021</t>
  </si>
  <si>
    <t>FY2022</t>
  </si>
  <si>
    <t>FY2023</t>
  </si>
  <si>
    <t>FY2024</t>
  </si>
  <si>
    <t>FY2025</t>
  </si>
  <si>
    <t>INCOME STATEMENT</t>
  </si>
  <si>
    <t>Segment Sweden sales</t>
  </si>
  <si>
    <t>Other income and eliminations</t>
  </si>
  <si>
    <t>Total operating income</t>
  </si>
  <si>
    <t>Cost of goods sold</t>
  </si>
  <si>
    <t>Gross profit</t>
  </si>
  <si>
    <t>Gross margin</t>
  </si>
  <si>
    <t>Operating expenses</t>
  </si>
  <si>
    <t>EBITDA</t>
  </si>
  <si>
    <t>EBITDA margin</t>
  </si>
  <si>
    <t>Depreciation and amortisation</t>
  </si>
  <si>
    <t>EBIT</t>
  </si>
  <si>
    <t>EBIT margin</t>
  </si>
  <si>
    <t>Net financial items</t>
  </si>
  <si>
    <t>Profit before tax</t>
  </si>
  <si>
    <t>Tax expense</t>
  </si>
  <si>
    <t>Net profit</t>
  </si>
  <si>
    <t>CASH FLOW AND BALANCE SHEET</t>
  </si>
  <si>
    <t>Capital expenditure</t>
  </si>
  <si>
    <t>Change in net working capital</t>
  </si>
  <si>
    <t>Net interest bearing debt excluding leases</t>
  </si>
  <si>
    <t>Lease liabilities</t>
  </si>
  <si>
    <t>Shares outstanding, million</t>
  </si>
  <si>
    <t>OPERATING METRICS</t>
  </si>
  <si>
    <t>Europris chain stores, Norway</t>
  </si>
  <si>
    <t>OoB chain stores, Sweden</t>
  </si>
  <si>
    <t>Like for like sales growth, Norway</t>
  </si>
  <si>
    <t>Forecast assumptions and cost of capital</t>
  </si>
  <si>
    <t>Driver</t>
  </si>
  <si>
    <t>FY2026E</t>
  </si>
  <si>
    <t>FY2027E</t>
  </si>
  <si>
    <t>FY2028E</t>
  </si>
  <si>
    <t>FY2029E</t>
  </si>
  <si>
    <t>FY2030E</t>
  </si>
  <si>
    <t>REVENUE DRIVERS</t>
  </si>
  <si>
    <t>Norway sales growth</t>
  </si>
  <si>
    <t>Sweden sales growth</t>
  </si>
  <si>
    <t>MARGIN DRIVERS</t>
  </si>
  <si>
    <t>CASH FLOW DRIVERS</t>
  </si>
  <si>
    <t>Capital expenditure as share of income</t>
  </si>
  <si>
    <t>Change in working capital as share of change in income</t>
  </si>
  <si>
    <t>Effective tax rate</t>
  </si>
  <si>
    <t>COST OF CAPITAL</t>
  </si>
  <si>
    <t>Risk free rate</t>
  </si>
  <si>
    <t>Equity risk premium</t>
  </si>
  <si>
    <t>Equity beta</t>
  </si>
  <si>
    <t>Cost of equity</t>
  </si>
  <si>
    <t>Pre tax cost of debt</t>
  </si>
  <si>
    <t>Marginal tax rate</t>
  </si>
  <si>
    <t>After tax cost of debt</t>
  </si>
  <si>
    <t>Target equity weight</t>
  </si>
  <si>
    <t>Target debt weight</t>
  </si>
  <si>
    <t>WACC</t>
  </si>
  <si>
    <t>TERMINAL VALUE AND MARKET DATA</t>
  </si>
  <si>
    <t>Current share price, NOK</t>
  </si>
  <si>
    <t>Valuation date</t>
  </si>
  <si>
    <t>Forecast income statement</t>
  </si>
  <si>
    <t>Unlevered free cash flow and valuation</t>
  </si>
  <si>
    <t>Tax on EBIT</t>
  </si>
  <si>
    <t>NOPAT</t>
  </si>
  <si>
    <t>Less capital expenditure</t>
  </si>
  <si>
    <t>Less change in working capital</t>
  </si>
  <si>
    <t>Unlevered free cash flow</t>
  </si>
  <si>
    <t>Discount period</t>
  </si>
  <si>
    <t>Discount factor</t>
  </si>
  <si>
    <t>Present value of free cash flow</t>
  </si>
  <si>
    <t>VALUATION BRIDGE</t>
  </si>
  <si>
    <t>Sum of present value of forecast cash flows</t>
  </si>
  <si>
    <t>Terminal value at end of forecast</t>
  </si>
  <si>
    <t>Present value of terminal value</t>
  </si>
  <si>
    <t>Enterprise value</t>
  </si>
  <si>
    <t>Less net interest bearing debt</t>
  </si>
  <si>
    <t>Equity value</t>
  </si>
  <si>
    <t>Implied value per share, NOK</t>
  </si>
  <si>
    <t>Upside to current price</t>
  </si>
  <si>
    <t>Terminal value as share of enterprise value</t>
  </si>
  <si>
    <t>Europris ASA historical financials, FY2021 to FY2025</t>
  </si>
  <si>
    <t>Source and check</t>
  </si>
  <si>
    <t>AR2025 p15 Segment Norway. 2021-23 = group total, no Sweden segment existed</t>
  </si>
  <si>
    <t>AR2025 p17 Segment Sweden. OoB owned 8 months of 2024, full year 2025</t>
  </si>
  <si>
    <t>Balancing figure. Group total less the two segments, rounding only</t>
  </si>
  <si>
    <t>Group key income statement figures, Key figures page of each report</t>
  </si>
  <si>
    <t>Group key income statement figures. Opex line, post IFRS 16</t>
  </si>
  <si>
    <t>Derived as reported EBITDA less reported EBIT. Cross check against the cash flow statement</t>
  </si>
  <si>
    <t>Derived as profit before tax less EBIT. Negative because it is a net cost</t>
  </si>
  <si>
    <t>Consolidated income statement, Income tax expense line, note 11</t>
  </si>
  <si>
    <t>Group key cash flow and balance sheet figures. Excludes right of use additions</t>
  </si>
  <si>
    <t>As reported. Negative means cash absorbed. This row is informational, the DCF does not read it</t>
  </si>
  <si>
    <t>Net debt ex lease liabilities line, Group key cash flow and balance sheet figures</t>
  </si>
  <si>
    <t>2022 restated in AR2023 to include current leases. 2021 is on the old non current basis</t>
  </si>
  <si>
    <t>2024 and 2025 are weighted average ordinary shares, note 17. Earlier years derived from EPS</t>
  </si>
  <si>
    <t>Europris chain key figures, total number of chain stores at end of period</t>
  </si>
  <si>
    <t>OoB chain key figures, AR2025 p17</t>
  </si>
  <si>
    <t>Growth in like for like chain sales, Europris chain key figures</t>
  </si>
  <si>
    <t>Europris Norway sales increased 7.2% in 2025 and 6.0% in H1 2026. Management targets above-market like-for-like growth and approximately five net new stores annually. Europris H1 2026</t>
  </si>
  <si>
    <t>H1 2026 local-currency sales increased 0.7%, despite 24 temporary store closures. Management targets SEK 5 billion of sales by the end of 2028. Europris H1 2026</t>
  </si>
  <si>
    <t>Group margin was 40.9% in 2025 and 41.0% in H1 2026. Sweden’s H1 margin improved to 33.1%, but remains below Norway’s margin. Europris Q2 2026</t>
  </si>
  <si>
    <t>2025 capex was approximately 0.9% of sales. Forecast is raised during the ÖoB remodelling period and then returns toward the historical level. Europris annual reports</t>
  </si>
  <si>
    <t>Working capital absorbed approximately 18.6% of incremental income in 2025 and 6.4% in 2024. A low-to-mid-teens assumption reflects Europris’s inventory-heavy model.</t>
  </si>
  <si>
    <t>Norwegian ordinary company income is taxed at 22%. Norwegian Tax Administration</t>
  </si>
  <si>
    <t>Norwegian ten-year government bond yield was 4.392% on 28 August 2026. Norges Bank</t>
  </si>
  <si>
    <t>PwC’s 2025 Norwegian market-risk-premium survey reported a median of 5.0%. PwC Norway</t>
  </si>
  <si>
    <t>Market providers report lower historical betas of approximately 0.34–0.49. The base case normalises beta upward to 0.70 because Europris changed materially following full consolidation of ÖoB. Yahoo Finance beta</t>
  </si>
  <si>
    <t>CAPM calculation using the risk-free rate, beta and equity risk premium.</t>
  </si>
  <si>
    <t>Europris has a NOK 1.0bn term loan and NOK 2.2bn revolving facilities. Part of the term loan is interest-rate hedged. Europris capital management</t>
  </si>
  <si>
    <t>Norwegian corporate tax rate. Norwegian Tax Administration</t>
  </si>
  <si>
    <t>Calculated from the pre-tax cost of debt and marginal tax rate.</t>
  </si>
  <si>
    <t>Market-value capital structure using Europris market capitalisation and interest-bearing debt including IFRS 16 lease liabilities.</t>
  </si>
  <si>
    <t>Calculated as the remainder of total capital.</t>
  </si>
  <si>
    <t>Calculated using market-value capital weights, CAPM cost of equity and after-tax cost of debt.</t>
  </si>
  <si>
    <t>Based on approximately 2% long-term inflation plus modest real growth. It is below expected long-run nominal economic growth.</t>
  </si>
  <si>
    <t>Europris closing share price on 28 August 2026. Euronext</t>
  </si>
  <si>
    <t>Last completed trading day used for the share price and government-bond yield.</t>
  </si>
  <si>
    <t xml:space="preserve">All figures NOK million unless stated. </t>
  </si>
  <si>
    <t>This tab presents the main assumptions used to forecast Europris and calculate its cost of capital.</t>
  </si>
  <si>
    <t>This tab forecasts Europris’s revenue, costs and operating profit based on the selected assumptions.</t>
  </si>
  <si>
    <t>This tab calculates forecast free cash flow and estimates Europris’s enterprise and equity value.</t>
  </si>
  <si>
    <t>This shows the estimated value of one Europris share based on the DCF valuation.</t>
  </si>
  <si>
    <t>Cash operating expenses including rent as share of income</t>
  </si>
  <si>
    <t>Group opex was 24.9% of sales in 2025. Store closures and remodelling costs weigh on 2026, with improvement expected from 2027. Europris FY2025 results. Includes estimated store rent of 7.2% of income.</t>
  </si>
  <si>
    <t>Non-lease depreciation and amortisation as share of income</t>
  </si>
  <si>
    <t>Historical calibration: 6.6%, 6.8%, 7.1%, 7.2% and 7.1%. Most depreciation relates to IFRS 16 right-of-use assets.Excludes IFRS 16 right-of-use depreciation because cash rent is included in operating expenses.</t>
  </si>
  <si>
    <t>Add back non-lease depreciation and amortisation</t>
  </si>
  <si>
    <t>Price data</t>
  </si>
  <si>
    <t>Date</t>
  </si>
  <si>
    <t>EPR.OL adjusted close</t>
  </si>
  <si>
    <t>OSEBX.OL close</t>
  </si>
  <si>
    <t>EPR weekly return</t>
  </si>
  <si>
    <t>Index weekly return</t>
  </si>
  <si>
    <t>Regression output</t>
  </si>
  <si>
    <t>SAMPLE</t>
  </si>
  <si>
    <t>Observations, weekly returns</t>
  </si>
  <si>
    <t>RAW REGRESSION, EPR against OSEBX</t>
  </si>
  <si>
    <t>Raw equity beta</t>
  </si>
  <si>
    <t>Alpha, per week</t>
  </si>
  <si>
    <t>R squared</t>
  </si>
  <si>
    <t>Standard error of beta</t>
  </si>
  <si>
    <t>t statistic</t>
  </si>
  <si>
    <t>95 per cent lower bound</t>
  </si>
  <si>
    <t>95 per cent upper bound</t>
  </si>
  <si>
    <t>ADJUSTED</t>
  </si>
  <si>
    <t>Blume adjusted beta</t>
  </si>
  <si>
    <t>Yahoo Finance five-year weekly data through 2026-08-23: EPR.OL Adjusted Close and OSEBX.OL Close. 261 aligned prices and 260 weekly returns.</t>
  </si>
  <si>
    <t/>
  </si>
  <si>
    <t>Regression uses completed weekly returns. The cost-of-capital block uses the Blume-adjusted beta and remains auditable.</t>
  </si>
  <si>
    <t>Standard CAPM WACC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</si>
</sst>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-"/>
    <numFmt numFmtId="165" formatCode="0.0%;\(0.0%\);\-"/>
    <numFmt numFmtId="166" formatCode="#,##0.00;\(#,##0.00\);\-"/>
    <numFmt numFmtId="167" formatCode="#,##0.0"/>
    <numFmt numFmtId="168" formatCode="0.0000"/>
    <numFmt numFmtId="169" formatCode="0.0000%"/>
    <numFmt numFmtId="171" formatCode="yyyy\-mm\-dd"/>
  </numFmts>
  <fonts count="1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name val="Arial"/>
      <family val="2"/>
    </font>
    <font>
      <i/>
      <sz val="9"/>
      <color rgb="FF595959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i/>
      <sz val="9"/>
      <color rgb="FF808080"/>
      <name val="Arial"/>
      <family val="2"/>
    </font>
    <font>
      <sz val="10"/>
      <color rgb="FF008000"/>
      <name val="Arial"/>
      <family val="2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9"/>
      <name val="Calibri"/>
      <family val="2"/>
    </font>
    <font>
      <i/>
      <sz val="8"/>
      <color theme="0" tint="-0.4999847407452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FFFCC"/>
      </patternFill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13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  <xf numFmtId="43" fontId="1" fillId="0" borderId="0" applyBorder="0" applyAlignment="0" applyProtection="0"/>
    <xf numFmtId="44" fontId="1" fillId="0" borderId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6" fillId="2" borderId="0" xfId="0" applyFont="1" applyFill="1"/>
    <xf numFmtId="0" fontId="0" fillId="2" borderId="0" xfId="0" applyFill="1"/>
    <xf numFmtId="0" fontId="8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5" fontId="7" fillId="3" borderId="0" xfId="0" applyNumberFormat="1" applyFont="1" applyFill="1"/>
    <xf numFmtId="165" fontId="5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2" fontId="4" fillId="0" borderId="0" xfId="0" applyNumberFormat="1" applyFont="1"/>
    <xf numFmtId="164" fontId="5" fillId="0" borderId="0" xfId="0" applyNumberFormat="1" applyFont="1"/>
    <xf numFmtId="166" fontId="5" fillId="0" borderId="0" xfId="0" applyNumberFormat="1" applyFont="1"/>
    <xf numFmtId="166" fontId="4" fillId="0" borderId="0" xfId="0" applyNumberFormat="1" applyFont="1"/>
    <xf numFmtId="165" fontId="7" fillId="3" borderId="0" xfId="0" applyNumberFormat="1" applyFont="1" applyFill="1" applyAlignment="1">
      <alignment horizontal="right"/>
    </xf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10" fillId="0" borderId="0" xfId="0" applyFont="1"/>
    <xf numFmtId="0" fontId="10" fillId="2" borderId="0" xfId="0" applyFont="1" applyFill="1"/>
    <xf numFmtId="164" fontId="1" fillId="4" borderId="0" xfId="0" applyNumberFormat="1" applyFont="1" applyFill="1"/>
    <xf numFmtId="167" fontId="1" fillId="4" borderId="0" xfId="0" applyNumberFormat="1" applyFont="1" applyFill="1"/>
    <xf numFmtId="165" fontId="1" fillId="4" borderId="0" xfId="0" applyNumberFormat="1" applyFont="1" applyFill="1"/>
    <xf numFmtId="0" fontId="11" fillId="0" borderId="0" xfId="0" applyFont="1"/>
    <xf numFmtId="164" fontId="12" fillId="0" borderId="0" xfId="0" applyNumberFormat="1" applyFont="1"/>
    <xf numFmtId="10" fontId="13" fillId="0" borderId="0" xfId="0" applyNumberFormat="1" applyFont="1" applyAlignment="1">
      <alignment vertical="center" wrapText="1"/>
    </xf>
    <xf numFmtId="0" fontId="5" fillId="0" borderId="0" xfId="1" applyFont="1"/>
    <xf numFmtId="0" fontId="2" fillId="0" borderId="0" xfId="1" applyFont="1" applyFill="1"/>
    <xf numFmtId="0" fontId="5" fillId="0" borderId="0" xfId="1" applyFont="1" applyFill="1"/>
    <xf numFmtId="0" fontId="14" fillId="0" borderId="0" xfId="1" applyFont="1" applyFill="1"/>
    <xf numFmtId="0" fontId="14" fillId="0" borderId="0" xfId="1" applyFont="1"/>
    <xf numFmtId="171" fontId="1" fillId="0" borderId="0" xfId="1" applyNumberFormat="1" applyFont="1" applyFill="1"/>
    <xf numFmtId="2" fontId="1" fillId="0" borderId="0" xfId="1" applyNumberFormat="1" applyFont="1" applyFill="1"/>
    <xf numFmtId="10" fontId="14" fillId="0" borderId="0" xfId="1" applyNumberFormat="1" applyFont="1" applyFill="1"/>
    <xf numFmtId="10" fontId="14" fillId="0" borderId="0" xfId="1" applyNumberFormat="1" applyFont="1"/>
    <xf numFmtId="0" fontId="1" fillId="0" borderId="0" xfId="1" applyFont="1" applyFill="1"/>
    <xf numFmtId="0" fontId="10" fillId="0" borderId="0" xfId="0" applyFont="1" applyFill="1"/>
    <xf numFmtId="0" fontId="0" fillId="5" borderId="0" xfId="0" applyFill="1"/>
    <xf numFmtId="168" fontId="5" fillId="0" borderId="0" xfId="0" applyNumberFormat="1" applyFont="1"/>
    <xf numFmtId="3" fontId="1" fillId="0" borderId="0" xfId="0" applyNumberFormat="1" applyFont="1"/>
    <xf numFmtId="0" fontId="6" fillId="5" borderId="0" xfId="0" applyFont="1" applyFill="1"/>
    <xf numFmtId="169" fontId="1" fillId="0" borderId="0" xfId="0" applyNumberFormat="1" applyFont="1"/>
    <xf numFmtId="168" fontId="1" fillId="0" borderId="0" xfId="0" applyNumberFormat="1" applyFont="1"/>
    <xf numFmtId="2" fontId="1" fillId="0" borderId="0" xfId="0" applyNumberFormat="1" applyFont="1"/>
    <xf numFmtId="2" fontId="0" fillId="0" borderId="0" xfId="0" applyNumberFormat="1" applyAlignment="1">
      <alignment vertical="center" wrapText="1"/>
    </xf>
    <xf numFmtId="0" fontId="15" fillId="0" borderId="0" xfId="1" applyFont="1" applyFill="1"/>
    <xf numFmtId="0" fontId="16" fillId="0" borderId="0" xfId="1" applyFont="1" applyFill="1"/>
  </cellXfs>
  <cellStyles count="9">
    <cellStyle name="Comma [0] 2" xfId="3" xr:uid="{C151EF91-EDF2-4F2D-BEDE-931DDC7AE143}"/>
    <cellStyle name="Comma 2" xfId="2" xr:uid="{F66AE1DA-AAEB-4D5E-ACC2-982E3ED6F9EE}"/>
    <cellStyle name="Comma 3" xfId="7" xr:uid="{3DDFA549-133D-47A6-B87B-1C132E0DD6B3}"/>
    <cellStyle name="Currency [0] 2" xfId="5" xr:uid="{645362E8-96E3-4DAF-B889-211B57692D72}"/>
    <cellStyle name="Currency 2" xfId="4" xr:uid="{CCAE0AEE-AFD8-4052-A834-6BF6044CFE41}"/>
    <cellStyle name="Currency 3" xfId="8" xr:uid="{B20FA78F-90A4-49BD-A6AD-F670B731EB73}"/>
    <cellStyle name="Normal" xfId="0" builtinId="0"/>
    <cellStyle name="Normal 2" xfId="1" xr:uid="{1581FA38-A681-4501-AF98-64A83C12FB8D}"/>
    <cellStyle name="Percent" xfId="6" xr:uid="{EC4529C9-EE0D-4916-85EC-35B5F7C5A209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uropris_Beta_Regression_Completed.xlsx" TargetMode="External"/><Relationship Id="rId2" Type="http://schemas.openxmlformats.org/officeDocument/2006/relationships/externalLinkPath" Target="file:///C:\Users\Rubaiyat%20Shams\Downloads\Europris_Beta_Regression_Completed.xlsx" TargetMode="External"/><Relationship Id="rId1" Type="http://schemas.openxmlformats.org/officeDocument/2006/relationships/externalLinkPath" Target="/Users/Rubaiyat%20Shams/Downloads/Europris_Beta_Regression_Comple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w to"/>
      <sheetName val="Data"/>
      <sheetName val="Beta"/>
    </sheetNames>
    <sheetDataSet>
      <sheetData sheetId="0" refreshError="1"/>
      <sheetData sheetId="1">
        <row r="5">
          <cell r="D5">
            <v>-1.3731729452741037E-2</v>
          </cell>
        </row>
        <row r="6">
          <cell r="D6">
            <v>4.9139796544630521E-3</v>
          </cell>
        </row>
        <row r="7">
          <cell r="D7">
            <v>-4.4009717219809841E-2</v>
          </cell>
        </row>
        <row r="8">
          <cell r="D8">
            <v>-2.3018038355583581E-2</v>
          </cell>
        </row>
        <row r="9">
          <cell r="D9">
            <v>3.4904997068647692E-3</v>
          </cell>
        </row>
        <row r="10">
          <cell r="D10">
            <v>2.6086909063691488E-2</v>
          </cell>
        </row>
        <row r="11">
          <cell r="D11">
            <v>2.8813525121813788E-2</v>
          </cell>
        </row>
        <row r="12">
          <cell r="D12">
            <v>2.8006557474448357E-2</v>
          </cell>
        </row>
        <row r="13">
          <cell r="D13">
            <v>0</v>
          </cell>
        </row>
        <row r="14">
          <cell r="D14">
            <v>4.0865418580289026E-2</v>
          </cell>
        </row>
        <row r="15">
          <cell r="D15">
            <v>-1.6936121227134504E-2</v>
          </cell>
        </row>
        <row r="16">
          <cell r="D16">
            <v>-2.2709490789048159E-2</v>
          </cell>
        </row>
        <row r="17">
          <cell r="D17">
            <v>-2.0833281778318335E-2</v>
          </cell>
        </row>
        <row r="18">
          <cell r="D18">
            <v>4.6644852055964581E-2</v>
          </cell>
        </row>
        <row r="19">
          <cell r="D19">
            <v>3.7529362472631611E-2</v>
          </cell>
        </row>
        <row r="20">
          <cell r="D20">
            <v>2.411439534920734E-2</v>
          </cell>
        </row>
        <row r="21">
          <cell r="D21">
            <v>3.7527773283649646E-2</v>
          </cell>
        </row>
        <row r="22">
          <cell r="D22">
            <v>-2.1276697969636937E-2</v>
          </cell>
        </row>
        <row r="23">
          <cell r="D23">
            <v>2.8985601409177164E-3</v>
          </cell>
        </row>
        <row r="24">
          <cell r="D24">
            <v>-3.251450220163099E-2</v>
          </cell>
        </row>
        <row r="25">
          <cell r="D25">
            <v>-4.4809483692686225E-2</v>
          </cell>
        </row>
        <row r="26">
          <cell r="D26">
            <v>-3.6747479658623017E-2</v>
          </cell>
        </row>
        <row r="27">
          <cell r="D27">
            <v>1.7857160185106968E-2</v>
          </cell>
        </row>
        <row r="28">
          <cell r="D28">
            <v>-2.1531070448955747E-2</v>
          </cell>
        </row>
        <row r="29">
          <cell r="D29">
            <v>-5.5419737128418634E-2</v>
          </cell>
        </row>
        <row r="30">
          <cell r="D30">
            <v>-5.7808533215744085E-2</v>
          </cell>
        </row>
        <row r="31">
          <cell r="D31">
            <v>3.9377395896995404E-2</v>
          </cell>
        </row>
        <row r="32">
          <cell r="D32">
            <v>1.497795539467428E-2</v>
          </cell>
        </row>
        <row r="33">
          <cell r="D33">
            <v>2.2569473421040209E-2</v>
          </cell>
        </row>
        <row r="34">
          <cell r="D34">
            <v>-4.0747073516935073E-2</v>
          </cell>
        </row>
        <row r="35">
          <cell r="D35">
            <v>-3.5399225628715003E-3</v>
          </cell>
        </row>
        <row r="36">
          <cell r="D36">
            <v>-1.7759836368496096E-3</v>
          </cell>
        </row>
        <row r="37">
          <cell r="D37">
            <v>2.7506745907518226E-2</v>
          </cell>
        </row>
        <row r="38">
          <cell r="D38">
            <v>-0.10486901368770696</v>
          </cell>
        </row>
        <row r="39">
          <cell r="D39">
            <v>2.2175829108532996E-2</v>
          </cell>
        </row>
        <row r="40">
          <cell r="D40">
            <v>3.0495125075208795E-2</v>
          </cell>
        </row>
        <row r="41">
          <cell r="D41">
            <v>-6.4945267434443732E-2</v>
          </cell>
        </row>
        <row r="42">
          <cell r="D42">
            <v>3.5683909723323692E-2</v>
          </cell>
        </row>
        <row r="43">
          <cell r="D43">
            <v>-1.5586615864752962E-2</v>
          </cell>
        </row>
        <row r="44">
          <cell r="D44">
            <v>-3.7499866848194507E-2</v>
          </cell>
        </row>
        <row r="45">
          <cell r="D45">
            <v>-2.3809652000583825E-2</v>
          </cell>
        </row>
        <row r="46">
          <cell r="D46">
            <v>2.6607546276025129E-2</v>
          </cell>
        </row>
        <row r="47">
          <cell r="D47">
            <v>6.4796077752506953E-3</v>
          </cell>
        </row>
        <row r="48">
          <cell r="D48">
            <v>1.6308985639216012E-2</v>
          </cell>
        </row>
        <row r="49">
          <cell r="D49">
            <v>0.19298975762191883</v>
          </cell>
        </row>
        <row r="50">
          <cell r="D50">
            <v>9.734607572664089E-3</v>
          </cell>
        </row>
        <row r="51">
          <cell r="D51">
            <v>-8.7645461793883772E-4</v>
          </cell>
        </row>
        <row r="52">
          <cell r="D52">
            <v>2.6315814993530973E-2</v>
          </cell>
        </row>
        <row r="53">
          <cell r="D53">
            <v>1.2820485564109196E-2</v>
          </cell>
        </row>
        <row r="54">
          <cell r="D54">
            <v>1.6033768264399173E-2</v>
          </cell>
        </row>
        <row r="55">
          <cell r="D55">
            <v>0</v>
          </cell>
        </row>
        <row r="56">
          <cell r="D56">
            <v>-3.0730893323924757E-2</v>
          </cell>
        </row>
        <row r="57">
          <cell r="D57">
            <v>1.113966659943344E-2</v>
          </cell>
        </row>
        <row r="58">
          <cell r="D58">
            <v>-1.3559324680455176E-2</v>
          </cell>
        </row>
        <row r="59">
          <cell r="D59">
            <v>-5.4123692369499765E-2</v>
          </cell>
        </row>
        <row r="60">
          <cell r="D60">
            <v>-1.0899226337007795E-2</v>
          </cell>
        </row>
        <row r="61">
          <cell r="D61">
            <v>6.8870549284626881E-2</v>
          </cell>
        </row>
        <row r="62">
          <cell r="D62">
            <v>1.718193611745189E-3</v>
          </cell>
        </row>
        <row r="63">
          <cell r="D63">
            <v>5.1457394585703309E-3</v>
          </cell>
        </row>
        <row r="64">
          <cell r="D64">
            <v>5.3754408735933401E-2</v>
          </cell>
        </row>
        <row r="65">
          <cell r="D65">
            <v>-4.5344210493336257E-2</v>
          </cell>
        </row>
        <row r="66">
          <cell r="D66">
            <v>-1.8659904982184172E-2</v>
          </cell>
        </row>
        <row r="67">
          <cell r="D67">
            <v>2.2472055048580186E-2</v>
          </cell>
        </row>
        <row r="68">
          <cell r="D68">
            <v>4.2265334062247417E-2</v>
          </cell>
        </row>
        <row r="69">
          <cell r="D69">
            <v>2.0275782198561743E-2</v>
          </cell>
        </row>
        <row r="70">
          <cell r="D70">
            <v>2.6232219484623842E-2</v>
          </cell>
        </row>
        <row r="71">
          <cell r="D71">
            <v>2.4786845658273604E-2</v>
          </cell>
        </row>
        <row r="72">
          <cell r="D72">
            <v>2.5699086657958725E-2</v>
          </cell>
        </row>
        <row r="73">
          <cell r="D73">
            <v>1.1790921783859876E-2</v>
          </cell>
        </row>
        <row r="74">
          <cell r="D74">
            <v>8.0114610096662098E-3</v>
          </cell>
        </row>
        <row r="75">
          <cell r="D75">
            <v>5.7803483598959371E-3</v>
          </cell>
        </row>
        <row r="76">
          <cell r="D76">
            <v>-6.3936624805074671E-2</v>
          </cell>
        </row>
        <row r="77">
          <cell r="D77">
            <v>-1.2279497934574501E-2</v>
          </cell>
        </row>
        <row r="78">
          <cell r="D78">
            <v>6.2160005594886547E-2</v>
          </cell>
        </row>
        <row r="79">
          <cell r="D79">
            <v>2.7798190462660521E-2</v>
          </cell>
        </row>
        <row r="80">
          <cell r="D80">
            <v>4.7686785137381893E-2</v>
          </cell>
        </row>
        <row r="81">
          <cell r="D81">
            <v>1.1548939404446346E-2</v>
          </cell>
        </row>
        <row r="82">
          <cell r="D82">
            <v>-1.2088575472668839E-2</v>
          </cell>
        </row>
        <row r="83">
          <cell r="D83">
            <v>-9.5174148475203335E-3</v>
          </cell>
        </row>
        <row r="84">
          <cell r="D84">
            <v>-5.2848322672165993E-2</v>
          </cell>
        </row>
        <row r="85">
          <cell r="D85">
            <v>6.8840570760643649E-2</v>
          </cell>
        </row>
        <row r="86">
          <cell r="D86">
            <v>-1.491514854438647E-2</v>
          </cell>
        </row>
        <row r="87">
          <cell r="D87">
            <v>2.8905510149527913E-2</v>
          </cell>
        </row>
        <row r="88">
          <cell r="D88">
            <v>8.0269125694594212E-3</v>
          </cell>
        </row>
        <row r="89">
          <cell r="D89">
            <v>2.3236454861581546E-3</v>
          </cell>
        </row>
        <row r="90">
          <cell r="D90">
            <v>6.7180038066771086E-2</v>
          </cell>
        </row>
        <row r="91">
          <cell r="D91">
            <v>-1.7705024390472501E-2</v>
          </cell>
        </row>
        <row r="92">
          <cell r="D92">
            <v>1.4686273499044056E-2</v>
          </cell>
        </row>
        <row r="93">
          <cell r="D93">
            <v>-1.118415122537586E-2</v>
          </cell>
        </row>
        <row r="94">
          <cell r="D94">
            <v>-5.1896307935107355E-2</v>
          </cell>
        </row>
        <row r="95">
          <cell r="D95">
            <v>9.1228562046328232E-3</v>
          </cell>
        </row>
        <row r="96">
          <cell r="D96">
            <v>-1.1821972857822383E-2</v>
          </cell>
        </row>
        <row r="97">
          <cell r="D97">
            <v>1.4074585600625689E-2</v>
          </cell>
        </row>
        <row r="98">
          <cell r="D98">
            <v>-9.0215611070610935E-3</v>
          </cell>
        </row>
        <row r="99">
          <cell r="D99">
            <v>2.8011919103316796E-3</v>
          </cell>
        </row>
        <row r="100">
          <cell r="D100">
            <v>-6.2849300227931892E-2</v>
          </cell>
        </row>
        <row r="101">
          <cell r="D101">
            <v>-7.6005827878086296E-2</v>
          </cell>
        </row>
        <row r="102">
          <cell r="D102">
            <v>-8.0654241907063273E-4</v>
          </cell>
        </row>
        <row r="103">
          <cell r="D103">
            <v>-2.4212989898721338E-2</v>
          </cell>
        </row>
        <row r="104">
          <cell r="D104">
            <v>2.4813085449504335E-3</v>
          </cell>
        </row>
        <row r="105">
          <cell r="D105">
            <v>1.4851504728165654E-2</v>
          </cell>
        </row>
        <row r="106">
          <cell r="D106">
            <v>7.3170472469399339E-3</v>
          </cell>
        </row>
        <row r="107">
          <cell r="D107">
            <v>-1.5334917050408903E-2</v>
          </cell>
        </row>
        <row r="108">
          <cell r="D108">
            <v>-1.0655723709867559E-2</v>
          </cell>
        </row>
        <row r="109">
          <cell r="D109">
            <v>1.1599012619536886E-2</v>
          </cell>
        </row>
        <row r="110">
          <cell r="D110">
            <v>-1.0646996441031731E-2</v>
          </cell>
        </row>
        <row r="111">
          <cell r="D111">
            <v>-2.069538627724965E-2</v>
          </cell>
        </row>
        <row r="112">
          <cell r="D112">
            <v>1.014366633081365E-2</v>
          </cell>
        </row>
        <row r="113">
          <cell r="D113">
            <v>-1.2552329940456963E-2</v>
          </cell>
        </row>
        <row r="114">
          <cell r="D114">
            <v>5.2542386151269715E-2</v>
          </cell>
        </row>
        <row r="115">
          <cell r="D115">
            <v>4.8309710979608234E-3</v>
          </cell>
        </row>
        <row r="116">
          <cell r="D116">
            <v>6.410280136714519E-3</v>
          </cell>
        </row>
        <row r="117">
          <cell r="D117">
            <v>1.5127357430380961E-2</v>
          </cell>
        </row>
        <row r="118">
          <cell r="D118">
            <v>5.7254926301408604E-2</v>
          </cell>
        </row>
        <row r="119">
          <cell r="D119">
            <v>2.6706135909489337E-2</v>
          </cell>
        </row>
        <row r="120">
          <cell r="D120">
            <v>7.9480541398686544E-3</v>
          </cell>
        </row>
        <row r="121">
          <cell r="D121">
            <v>3.4408542091746375E-2</v>
          </cell>
        </row>
        <row r="122">
          <cell r="D122">
            <v>-1.1087931979102628E-2</v>
          </cell>
        </row>
        <row r="123">
          <cell r="D123">
            <v>-2.4527054664022385E-2</v>
          </cell>
        </row>
        <row r="124">
          <cell r="D124">
            <v>8.9798890516798791E-2</v>
          </cell>
        </row>
        <row r="125">
          <cell r="D125">
            <v>1.1865596927520095E-2</v>
          </cell>
        </row>
        <row r="126">
          <cell r="D126">
            <v>1.3028511807364751E-3</v>
          </cell>
        </row>
        <row r="127">
          <cell r="D127">
            <v>4.0988964727593169E-2</v>
          </cell>
        </row>
        <row r="128">
          <cell r="D128">
            <v>0</v>
          </cell>
        </row>
        <row r="129">
          <cell r="D129">
            <v>2.4999547879358541E-3</v>
          </cell>
        </row>
        <row r="130">
          <cell r="D130">
            <v>-5.8603466474851484E-2</v>
          </cell>
        </row>
        <row r="131">
          <cell r="D131">
            <v>-4.0397400379491355E-2</v>
          </cell>
        </row>
        <row r="132">
          <cell r="D132">
            <v>-4.8308609217907472E-3</v>
          </cell>
        </row>
        <row r="133">
          <cell r="D133">
            <v>0</v>
          </cell>
        </row>
        <row r="134">
          <cell r="D134">
            <v>2.4965358294299689E-2</v>
          </cell>
        </row>
        <row r="135">
          <cell r="D135">
            <v>-1.8267864282285662E-2</v>
          </cell>
        </row>
        <row r="136">
          <cell r="D136">
            <v>2.9634586632633964E-2</v>
          </cell>
        </row>
        <row r="137">
          <cell r="D137">
            <v>3.3466890541542504E-3</v>
          </cell>
        </row>
        <row r="138">
          <cell r="D138">
            <v>4.0693790356068904E-2</v>
          </cell>
        </row>
        <row r="139">
          <cell r="D139">
            <v>-1.4102478006849828E-2</v>
          </cell>
        </row>
        <row r="140">
          <cell r="D140">
            <v>6.3719040570055618E-2</v>
          </cell>
        </row>
        <row r="141">
          <cell r="D141">
            <v>-3.6674688977413217E-2</v>
          </cell>
        </row>
        <row r="142">
          <cell r="D142">
            <v>-0.12817269719050906</v>
          </cell>
        </row>
        <row r="143">
          <cell r="D143">
            <v>4.1675565670589387E-2</v>
          </cell>
        </row>
        <row r="144">
          <cell r="D144">
            <v>2.4175851210241905E-2</v>
          </cell>
        </row>
        <row r="145">
          <cell r="D145">
            <v>-3.5765724456587877E-3</v>
          </cell>
        </row>
        <row r="146">
          <cell r="D146">
            <v>2.1536222706930452E-3</v>
          </cell>
        </row>
        <row r="147">
          <cell r="D147">
            <v>7.1629168826548018E-4</v>
          </cell>
        </row>
        <row r="148">
          <cell r="D148">
            <v>1.0737279720952175E-2</v>
          </cell>
        </row>
        <row r="149">
          <cell r="D149">
            <v>5.3116194169252395E-2</v>
          </cell>
        </row>
        <row r="150">
          <cell r="D150">
            <v>-1.210500431926298E-2</v>
          </cell>
        </row>
        <row r="151">
          <cell r="D151">
            <v>-1.4295307573012783E-2</v>
          </cell>
        </row>
        <row r="152">
          <cell r="D152">
            <v>1.4502627087850328E-2</v>
          </cell>
        </row>
        <row r="153">
          <cell r="D153">
            <v>-8.7133917634693026E-2</v>
          </cell>
        </row>
        <row r="154">
          <cell r="D154">
            <v>4.4742042904459822E-3</v>
          </cell>
        </row>
        <row r="155">
          <cell r="D155">
            <v>-4.0089029961806966E-2</v>
          </cell>
        </row>
        <row r="156">
          <cell r="D156">
            <v>-7.7340263280121224E-3</v>
          </cell>
        </row>
        <row r="157">
          <cell r="D157">
            <v>3.7412391943774326E-2</v>
          </cell>
        </row>
        <row r="158">
          <cell r="D158">
            <v>1.5025441144391749E-3</v>
          </cell>
        </row>
        <row r="159">
          <cell r="D159">
            <v>0</v>
          </cell>
        </row>
        <row r="160">
          <cell r="D160">
            <v>2.2506218626654473E-3</v>
          </cell>
        </row>
        <row r="161">
          <cell r="D161">
            <v>-3.4431170695391256E-2</v>
          </cell>
        </row>
        <row r="162">
          <cell r="D162">
            <v>2.1705417066000932E-2</v>
          </cell>
        </row>
        <row r="163">
          <cell r="D163">
            <v>1.5174905894708157E-3</v>
          </cell>
        </row>
        <row r="164">
          <cell r="D164">
            <v>7.5757046234619096E-3</v>
          </cell>
        </row>
        <row r="165">
          <cell r="D165">
            <v>1.3533878193283888E-2</v>
          </cell>
        </row>
        <row r="166">
          <cell r="D166">
            <v>-2.4480738605945906E-2</v>
          </cell>
        </row>
        <row r="167">
          <cell r="D167">
            <v>4.2585596563008865E-2</v>
          </cell>
        </row>
        <row r="168">
          <cell r="D168">
            <v>2.2611159357412536E-2</v>
          </cell>
        </row>
        <row r="169">
          <cell r="D169">
            <v>-4.2082720253218464E-2</v>
          </cell>
        </row>
        <row r="170">
          <cell r="D170">
            <v>-5.2121628934900244E-3</v>
          </cell>
        </row>
        <row r="171">
          <cell r="D171">
            <v>-1.7964170209980757E-2</v>
          </cell>
        </row>
        <row r="172">
          <cell r="D172">
            <v>-1.905481005883336E-2</v>
          </cell>
        </row>
        <row r="173">
          <cell r="D173">
            <v>2.952603063004533E-2</v>
          </cell>
        </row>
        <row r="174">
          <cell r="D174">
            <v>7.0943378992683881E-2</v>
          </cell>
        </row>
        <row r="175">
          <cell r="D175">
            <v>3.7350116041083625E-2</v>
          </cell>
        </row>
        <row r="176">
          <cell r="D176">
            <v>-3.532600409595843E-2</v>
          </cell>
        </row>
        <row r="177">
          <cell r="D177">
            <v>2.3239521950037423E-2</v>
          </cell>
        </row>
        <row r="178">
          <cell r="D178">
            <v>1.169995235857102E-2</v>
          </cell>
        </row>
        <row r="179">
          <cell r="D179">
            <v>7.4829068030466406E-3</v>
          </cell>
        </row>
        <row r="180">
          <cell r="D180">
            <v>-2.7008366296351616E-3</v>
          </cell>
        </row>
        <row r="181">
          <cell r="D181">
            <v>1.62491305238468E-2</v>
          </cell>
        </row>
        <row r="182">
          <cell r="D182">
            <v>0.10526315789473695</v>
          </cell>
        </row>
        <row r="183">
          <cell r="D183">
            <v>-5.2441256293431771E-2</v>
          </cell>
        </row>
        <row r="184">
          <cell r="D184">
            <v>1.2721923808682867E-3</v>
          </cell>
        </row>
        <row r="185">
          <cell r="D185">
            <v>3.1131012224461685E-2</v>
          </cell>
        </row>
        <row r="186">
          <cell r="D186">
            <v>-1.8484261848425998E-3</v>
          </cell>
        </row>
        <row r="187">
          <cell r="D187">
            <v>-2.3456893248477662E-2</v>
          </cell>
        </row>
        <row r="188">
          <cell r="D188">
            <v>1.8963417389376236E-2</v>
          </cell>
        </row>
        <row r="189">
          <cell r="D189">
            <v>4.342422203936569E-2</v>
          </cell>
        </row>
        <row r="190">
          <cell r="D190">
            <v>9.5126373272302889E-3</v>
          </cell>
        </row>
        <row r="191">
          <cell r="D191">
            <v>-5.3003553634106582E-2</v>
          </cell>
        </row>
        <row r="192">
          <cell r="D192">
            <v>-8.208953680834763E-2</v>
          </cell>
        </row>
        <row r="193">
          <cell r="D193">
            <v>1.7615075273310188E-2</v>
          </cell>
        </row>
        <row r="194">
          <cell r="D194">
            <v>1.7056033933651404E-2</v>
          </cell>
        </row>
        <row r="195">
          <cell r="D195">
            <v>8.36762288548063E-2</v>
          </cell>
        </row>
        <row r="196">
          <cell r="D196">
            <v>3.1645527672162554E-2</v>
          </cell>
        </row>
        <row r="197">
          <cell r="D197">
            <v>-1.3496884024099209E-2</v>
          </cell>
        </row>
        <row r="198">
          <cell r="D198">
            <v>-1.4925408479722346E-2</v>
          </cell>
        </row>
        <row r="199">
          <cell r="D199">
            <v>5.0505505812326046E-3</v>
          </cell>
        </row>
        <row r="200">
          <cell r="D200">
            <v>1.1306509500145001E-2</v>
          </cell>
        </row>
        <row r="201">
          <cell r="D201">
            <v>3.7267070951554349E-2</v>
          </cell>
        </row>
        <row r="202">
          <cell r="D202">
            <v>3.5928134609890527E-2</v>
          </cell>
        </row>
        <row r="203">
          <cell r="D203">
            <v>-1.0404603389956746E-2</v>
          </cell>
        </row>
        <row r="204">
          <cell r="D204">
            <v>3.7383235602382436E-2</v>
          </cell>
        </row>
        <row r="205">
          <cell r="D205">
            <v>7.6576545992169232E-2</v>
          </cell>
        </row>
        <row r="206">
          <cell r="D206">
            <v>1.464435823509902E-2</v>
          </cell>
        </row>
        <row r="207">
          <cell r="D207">
            <v>-1.6494829509454578E-2</v>
          </cell>
        </row>
        <row r="208">
          <cell r="D208">
            <v>7.3374462726545353E-3</v>
          </cell>
        </row>
        <row r="209">
          <cell r="D209">
            <v>3.1217969715862104E-3</v>
          </cell>
        </row>
        <row r="210">
          <cell r="D210">
            <v>3.1119993890391662E-3</v>
          </cell>
        </row>
        <row r="211">
          <cell r="D211">
            <v>2.1716660375561414E-2</v>
          </cell>
        </row>
        <row r="212">
          <cell r="D212">
            <v>-1.7206451807168399E-2</v>
          </cell>
        </row>
        <row r="213">
          <cell r="D213">
            <v>1.4418132375044079E-2</v>
          </cell>
        </row>
        <row r="214">
          <cell r="D214">
            <v>4.5685265696203237E-2</v>
          </cell>
        </row>
        <row r="215">
          <cell r="D215">
            <v>-1.553396592589662E-2</v>
          </cell>
        </row>
        <row r="216">
          <cell r="D216">
            <v>-1.3806712441289615E-2</v>
          </cell>
        </row>
        <row r="217">
          <cell r="D217">
            <v>-2.0000020626511184E-2</v>
          </cell>
        </row>
        <row r="218">
          <cell r="D218">
            <v>1.4285721224437609E-2</v>
          </cell>
        </row>
        <row r="219">
          <cell r="D219">
            <v>0</v>
          </cell>
        </row>
        <row r="220">
          <cell r="D220">
            <v>2.4144926384168652E-2</v>
          </cell>
        </row>
        <row r="221">
          <cell r="D221">
            <v>-0.14243615390550057</v>
          </cell>
        </row>
        <row r="222">
          <cell r="D222">
            <v>-4.3528134722065071E-2</v>
          </cell>
        </row>
        <row r="223">
          <cell r="D223">
            <v>3.7125726428984596E-2</v>
          </cell>
        </row>
        <row r="224">
          <cell r="D224">
            <v>1.385684636051443E-2</v>
          </cell>
        </row>
        <row r="225">
          <cell r="D225">
            <v>3.4168646220264831E-2</v>
          </cell>
        </row>
        <row r="226">
          <cell r="D226">
            <v>7.7091669058444445E-3</v>
          </cell>
        </row>
        <row r="227">
          <cell r="D227">
            <v>1.7486322689163059E-2</v>
          </cell>
        </row>
        <row r="228">
          <cell r="D228">
            <v>9.6670905131166496E-3</v>
          </cell>
        </row>
        <row r="229">
          <cell r="D229">
            <v>-3.1915390119985343E-3</v>
          </cell>
        </row>
        <row r="230">
          <cell r="D230">
            <v>-7.4706547186088601E-3</v>
          </cell>
        </row>
        <row r="231">
          <cell r="D231">
            <v>6.4516283129842922E-3</v>
          </cell>
        </row>
        <row r="232">
          <cell r="D232">
            <v>-2.8846179925291593E-2</v>
          </cell>
        </row>
        <row r="233">
          <cell r="D233">
            <v>8.8008721190280248E-3</v>
          </cell>
        </row>
        <row r="234">
          <cell r="D234">
            <v>-3.489636998644341E-2</v>
          </cell>
        </row>
        <row r="235">
          <cell r="D235">
            <v>-1.4689285490822268E-2</v>
          </cell>
        </row>
        <row r="236">
          <cell r="D236">
            <v>-5.7339738542219187E-3</v>
          </cell>
        </row>
        <row r="237">
          <cell r="D237">
            <v>2.3068076184686204E-2</v>
          </cell>
        </row>
        <row r="238">
          <cell r="D238">
            <v>2.8184856193981922E-2</v>
          </cell>
        </row>
        <row r="239">
          <cell r="D239">
            <v>-2.3026241392136493E-2</v>
          </cell>
        </row>
        <row r="240">
          <cell r="D240">
            <v>1.7957334302540096E-2</v>
          </cell>
        </row>
        <row r="241">
          <cell r="D241">
            <v>-3.3076066100351631E-2</v>
          </cell>
        </row>
        <row r="242">
          <cell r="D242">
            <v>5.7011923882184234E-3</v>
          </cell>
        </row>
        <row r="243">
          <cell r="D243">
            <v>6.5759736924714041E-2</v>
          </cell>
        </row>
        <row r="244">
          <cell r="D244">
            <v>-2.1276364103153256E-3</v>
          </cell>
        </row>
        <row r="245">
          <cell r="D245">
            <v>-7.4627742994762825E-3</v>
          </cell>
        </row>
        <row r="246">
          <cell r="D246">
            <v>4.6186907251932752E-2</v>
          </cell>
        </row>
        <row r="247">
          <cell r="D247">
            <v>9.937606511735364E-3</v>
          </cell>
        </row>
        <row r="248">
          <cell r="D248">
            <v>-1.9027436061277436E-2</v>
          </cell>
        </row>
        <row r="249">
          <cell r="D249">
            <v>-2.3706945100095522E-2</v>
          </cell>
        </row>
        <row r="250">
          <cell r="D250">
            <v>3.5320139420871755E-2</v>
          </cell>
        </row>
        <row r="251">
          <cell r="D251">
            <v>-1.2793225358154525E-2</v>
          </cell>
        </row>
        <row r="252">
          <cell r="D252">
            <v>7.5594448074678411E-3</v>
          </cell>
        </row>
        <row r="253">
          <cell r="D253">
            <v>-2.3579898238762942E-2</v>
          </cell>
        </row>
        <row r="254">
          <cell r="D254">
            <v>-2.9637727699953542E-2</v>
          </cell>
        </row>
        <row r="255">
          <cell r="D255">
            <v>6.7873129385120912E-3</v>
          </cell>
        </row>
        <row r="256">
          <cell r="D256">
            <v>0</v>
          </cell>
        </row>
        <row r="257">
          <cell r="D257">
            <v>-8.7640483727615903E-2</v>
          </cell>
        </row>
        <row r="258">
          <cell r="D258">
            <v>2.4630542797616339E-2</v>
          </cell>
        </row>
        <row r="259">
          <cell r="D259">
            <v>-7.2115203861647936E-3</v>
          </cell>
        </row>
        <row r="260">
          <cell r="D260">
            <v>3.2687707354893458E-2</v>
          </cell>
        </row>
        <row r="261">
          <cell r="D261">
            <v>1.8757308521434091E-2</v>
          </cell>
        </row>
        <row r="262">
          <cell r="D262">
            <v>-8.0552884389565316E-3</v>
          </cell>
        </row>
        <row r="263">
          <cell r="D263">
            <v>1.5081242433667263E-2</v>
          </cell>
        </row>
        <row r="264">
          <cell r="D264">
            <v>1.8285696847098132E-2</v>
          </cell>
        </row>
        <row r="265">
          <cell r="D265" t="str">
            <v/>
          </cell>
        </row>
        <row r="266">
          <cell r="D266" t="str">
            <v/>
          </cell>
        </row>
        <row r="267">
          <cell r="D267" t="str">
            <v/>
          </cell>
        </row>
        <row r="268">
          <cell r="D268" t="str">
            <v/>
          </cell>
        </row>
        <row r="269">
          <cell r="D269" t="str">
            <v/>
          </cell>
        </row>
        <row r="270">
          <cell r="D270" t="str">
            <v/>
          </cell>
        </row>
        <row r="271">
          <cell r="D271" t="str">
            <v/>
          </cell>
        </row>
        <row r="272">
          <cell r="D272" t="str">
            <v/>
          </cell>
        </row>
        <row r="273">
          <cell r="D273" t="str">
            <v/>
          </cell>
        </row>
        <row r="274">
          <cell r="D274" t="str">
            <v/>
          </cell>
        </row>
        <row r="275">
          <cell r="D275" t="str">
            <v/>
          </cell>
        </row>
        <row r="276">
          <cell r="D276" t="str">
            <v/>
          </cell>
        </row>
        <row r="277">
          <cell r="D277" t="str">
            <v/>
          </cell>
        </row>
        <row r="278">
          <cell r="D278" t="str">
            <v/>
          </cell>
        </row>
        <row r="279">
          <cell r="D279" t="str">
            <v/>
          </cell>
        </row>
        <row r="280">
          <cell r="D280" t="str">
            <v/>
          </cell>
        </row>
        <row r="281">
          <cell r="D281" t="str">
            <v/>
          </cell>
        </row>
        <row r="282">
          <cell r="D282" t="str">
            <v/>
          </cell>
        </row>
        <row r="283">
          <cell r="D283" t="str">
            <v/>
          </cell>
        </row>
        <row r="284">
          <cell r="D284" t="str">
            <v/>
          </cell>
        </row>
        <row r="285">
          <cell r="D285" t="str">
            <v/>
          </cell>
        </row>
        <row r="286">
          <cell r="D286" t="str">
            <v/>
          </cell>
        </row>
        <row r="287">
          <cell r="D287" t="str">
            <v/>
          </cell>
        </row>
        <row r="288">
          <cell r="D288" t="str">
            <v/>
          </cell>
        </row>
        <row r="289">
          <cell r="D289" t="str">
            <v/>
          </cell>
        </row>
        <row r="290">
          <cell r="D290" t="str">
            <v/>
          </cell>
        </row>
        <row r="291">
          <cell r="D291" t="str">
            <v/>
          </cell>
        </row>
        <row r="292">
          <cell r="D292" t="str">
            <v/>
          </cell>
        </row>
        <row r="293">
          <cell r="D293" t="str">
            <v/>
          </cell>
        </row>
        <row r="294">
          <cell r="D294" t="str">
            <v/>
          </cell>
        </row>
        <row r="295">
          <cell r="D295" t="str">
            <v/>
          </cell>
        </row>
        <row r="296">
          <cell r="D296" t="str">
            <v/>
          </cell>
        </row>
        <row r="297">
          <cell r="D297" t="str">
            <v/>
          </cell>
        </row>
        <row r="298">
          <cell r="D298" t="str">
            <v/>
          </cell>
        </row>
        <row r="299">
          <cell r="D299" t="str">
            <v/>
          </cell>
        </row>
        <row r="300">
          <cell r="D300" t="str">
            <v/>
          </cell>
        </row>
        <row r="301">
          <cell r="D301" t="str">
            <v/>
          </cell>
        </row>
        <row r="302">
          <cell r="D302" t="str">
            <v/>
          </cell>
        </row>
        <row r="303">
          <cell r="D303" t="str">
            <v/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showGridLines="0" topLeftCell="A22" zoomScaleNormal="100" workbookViewId="0">
      <selection activeCell="A30" sqref="A30:XFD30"/>
    </sheetView>
  </sheetViews>
  <sheetFormatPr defaultColWidth="8.6328125" defaultRowHeight="14.5" x14ac:dyDescent="0.35"/>
  <cols>
    <col min="1" max="1" width="42" customWidth="1"/>
    <col min="2" max="2" width="2" customWidth="1"/>
    <col min="3" max="7" width="12" style="30" customWidth="1"/>
    <col min="8" max="8" width="2" customWidth="1"/>
    <col min="9" max="9" width="52" customWidth="1"/>
  </cols>
  <sheetData>
    <row r="1" spans="1:9" ht="16.5" x14ac:dyDescent="0.35">
      <c r="A1" s="1" t="s">
        <v>84</v>
      </c>
    </row>
    <row r="2" spans="1:9" x14ac:dyDescent="0.35">
      <c r="A2" s="2" t="s">
        <v>121</v>
      </c>
    </row>
    <row r="4" spans="1:9" x14ac:dyDescent="0.35">
      <c r="A4" s="4" t="s">
        <v>0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I4" s="4" t="s">
        <v>85</v>
      </c>
    </row>
    <row r="6" spans="1:9" x14ac:dyDescent="0.35">
      <c r="A6" s="6" t="s">
        <v>8</v>
      </c>
      <c r="B6" s="7"/>
      <c r="C6" s="31"/>
      <c r="D6" s="31"/>
      <c r="E6" s="31"/>
      <c r="F6" s="31"/>
      <c r="G6" s="31"/>
      <c r="H6" s="7"/>
      <c r="I6" s="7"/>
    </row>
    <row r="7" spans="1:9" x14ac:dyDescent="0.35">
      <c r="A7" s="20" t="s">
        <v>1</v>
      </c>
      <c r="C7" s="32">
        <v>8648</v>
      </c>
      <c r="D7" s="32">
        <v>9016</v>
      </c>
      <c r="E7" s="32">
        <v>9467</v>
      </c>
      <c r="F7" s="32">
        <v>9878</v>
      </c>
      <c r="G7" s="32">
        <v>10590</v>
      </c>
      <c r="I7" s="8" t="s">
        <v>86</v>
      </c>
    </row>
    <row r="8" spans="1:9" x14ac:dyDescent="0.35">
      <c r="A8" s="20" t="s">
        <v>9</v>
      </c>
      <c r="C8" s="32">
        <v>0</v>
      </c>
      <c r="D8" s="32">
        <v>0</v>
      </c>
      <c r="E8" s="32">
        <v>0</v>
      </c>
      <c r="F8" s="32">
        <v>2873</v>
      </c>
      <c r="G8" s="32">
        <v>4289</v>
      </c>
      <c r="I8" s="8" t="s">
        <v>87</v>
      </c>
    </row>
    <row r="9" spans="1:9" x14ac:dyDescent="0.35">
      <c r="A9" s="20" t="s">
        <v>10</v>
      </c>
      <c r="C9" s="32">
        <v>0</v>
      </c>
      <c r="D9" s="32">
        <v>0</v>
      </c>
      <c r="E9" s="32">
        <v>0</v>
      </c>
      <c r="F9" s="32">
        <v>-1</v>
      </c>
      <c r="G9" s="32">
        <v>-1</v>
      </c>
      <c r="I9" s="8" t="s">
        <v>88</v>
      </c>
    </row>
    <row r="10" spans="1:9" x14ac:dyDescent="0.35">
      <c r="A10" s="20" t="s">
        <v>11</v>
      </c>
      <c r="C10" s="21">
        <v>8648</v>
      </c>
      <c r="D10" s="21">
        <v>9016</v>
      </c>
      <c r="E10" s="21">
        <v>9467</v>
      </c>
      <c r="F10" s="21">
        <v>12750</v>
      </c>
      <c r="G10" s="21">
        <v>14878</v>
      </c>
      <c r="I10" s="8"/>
    </row>
    <row r="11" spans="1:9" x14ac:dyDescent="0.35">
      <c r="A11" s="20" t="s">
        <v>12</v>
      </c>
      <c r="C11" s="32">
        <v>4592</v>
      </c>
      <c r="D11" s="32">
        <v>4833</v>
      </c>
      <c r="E11" s="32">
        <v>5276</v>
      </c>
      <c r="F11" s="32">
        <v>7437</v>
      </c>
      <c r="G11" s="32">
        <v>8799</v>
      </c>
      <c r="I11" s="8" t="s">
        <v>89</v>
      </c>
    </row>
    <row r="12" spans="1:9" x14ac:dyDescent="0.35">
      <c r="A12" s="20" t="s">
        <v>13</v>
      </c>
      <c r="C12" s="21">
        <v>4056</v>
      </c>
      <c r="D12" s="21">
        <v>4183</v>
      </c>
      <c r="E12" s="21">
        <v>4191</v>
      </c>
      <c r="F12" s="21">
        <v>5313</v>
      </c>
      <c r="G12" s="21">
        <v>6079</v>
      </c>
      <c r="I12" s="8"/>
    </row>
    <row r="13" spans="1:9" x14ac:dyDescent="0.35">
      <c r="A13" s="20" t="s">
        <v>14</v>
      </c>
      <c r="C13" s="22">
        <v>0.46901017576318199</v>
      </c>
      <c r="D13" s="22">
        <v>0.463952972493345</v>
      </c>
      <c r="E13" s="22">
        <v>0.44269567972958701</v>
      </c>
      <c r="F13" s="22">
        <v>0.41670588235294098</v>
      </c>
      <c r="G13" s="22">
        <v>0.40858986422906302</v>
      </c>
      <c r="I13" s="8"/>
    </row>
    <row r="14" spans="1:9" x14ac:dyDescent="0.35">
      <c r="A14" s="20" t="s">
        <v>15</v>
      </c>
      <c r="C14" s="32">
        <v>1973</v>
      </c>
      <c r="D14" s="32">
        <v>2132</v>
      </c>
      <c r="E14" s="32">
        <v>2222</v>
      </c>
      <c r="F14" s="32">
        <v>3153</v>
      </c>
      <c r="G14" s="32">
        <v>3700</v>
      </c>
      <c r="I14" s="8" t="s">
        <v>90</v>
      </c>
    </row>
    <row r="15" spans="1:9" x14ac:dyDescent="0.35">
      <c r="A15" s="20" t="s">
        <v>16</v>
      </c>
      <c r="C15" s="21">
        <v>2083</v>
      </c>
      <c r="D15" s="21">
        <v>2051</v>
      </c>
      <c r="E15" s="21">
        <v>1969</v>
      </c>
      <c r="F15" s="21">
        <v>2160</v>
      </c>
      <c r="G15" s="21">
        <v>2379</v>
      </c>
      <c r="I15" s="8"/>
    </row>
    <row r="16" spans="1:9" x14ac:dyDescent="0.35">
      <c r="A16" s="20" t="s">
        <v>17</v>
      </c>
      <c r="C16" s="22">
        <v>0.24086493987049001</v>
      </c>
      <c r="D16" s="22">
        <v>0.227484472049689</v>
      </c>
      <c r="E16" s="22">
        <v>0.207985634308651</v>
      </c>
      <c r="F16" s="22">
        <v>0.16941176470588201</v>
      </c>
      <c r="G16" s="22">
        <v>0.15990052426401399</v>
      </c>
      <c r="I16" s="8"/>
    </row>
    <row r="17" spans="1:9" x14ac:dyDescent="0.35">
      <c r="A17" s="20" t="s">
        <v>18</v>
      </c>
      <c r="C17" s="32">
        <v>571</v>
      </c>
      <c r="D17" s="32">
        <v>611</v>
      </c>
      <c r="E17" s="32">
        <v>675</v>
      </c>
      <c r="F17" s="32">
        <v>923</v>
      </c>
      <c r="G17" s="32">
        <v>1060</v>
      </c>
      <c r="I17" s="8" t="s">
        <v>91</v>
      </c>
    </row>
    <row r="18" spans="1:9" x14ac:dyDescent="0.35">
      <c r="A18" s="20" t="s">
        <v>19</v>
      </c>
      <c r="C18" s="21">
        <v>1512</v>
      </c>
      <c r="D18" s="21">
        <v>1440</v>
      </c>
      <c r="E18" s="21">
        <v>1294</v>
      </c>
      <c r="F18" s="21">
        <v>1237</v>
      </c>
      <c r="G18" s="21">
        <v>1319</v>
      </c>
      <c r="I18" s="8"/>
    </row>
    <row r="19" spans="1:9" x14ac:dyDescent="0.35">
      <c r="A19" s="20" t="s">
        <v>20</v>
      </c>
      <c r="C19" s="22">
        <v>0.17483811285846401</v>
      </c>
      <c r="D19" s="22">
        <v>0.159716060337178</v>
      </c>
      <c r="E19" s="22">
        <v>0.136685327981409</v>
      </c>
      <c r="F19" s="22">
        <v>9.7019607843137304E-2</v>
      </c>
      <c r="G19" s="22">
        <v>8.8654389030783695E-2</v>
      </c>
      <c r="I19" s="8"/>
    </row>
    <row r="20" spans="1:9" x14ac:dyDescent="0.35">
      <c r="A20" s="20" t="s">
        <v>21</v>
      </c>
      <c r="C20" s="32">
        <v>-94</v>
      </c>
      <c r="D20" s="32">
        <v>-103</v>
      </c>
      <c r="E20" s="32">
        <v>-143</v>
      </c>
      <c r="F20" s="32">
        <v>-168</v>
      </c>
      <c r="G20" s="32">
        <v>-265</v>
      </c>
      <c r="I20" s="8" t="s">
        <v>92</v>
      </c>
    </row>
    <row r="21" spans="1:9" x14ac:dyDescent="0.35">
      <c r="A21" s="20" t="s">
        <v>22</v>
      </c>
      <c r="C21" s="21">
        <v>1418</v>
      </c>
      <c r="D21" s="21">
        <v>1337</v>
      </c>
      <c r="E21" s="21">
        <v>1151</v>
      </c>
      <c r="F21" s="21">
        <v>1069</v>
      </c>
      <c r="G21" s="21">
        <v>1054</v>
      </c>
      <c r="I21" s="8"/>
    </row>
    <row r="22" spans="1:9" x14ac:dyDescent="0.35">
      <c r="A22" s="20" t="s">
        <v>23</v>
      </c>
      <c r="C22" s="32">
        <v>314</v>
      </c>
      <c r="D22" s="32">
        <v>295</v>
      </c>
      <c r="E22" s="32">
        <v>243</v>
      </c>
      <c r="F22" s="32">
        <v>231</v>
      </c>
      <c r="G22" s="32">
        <v>245</v>
      </c>
      <c r="I22" s="8" t="s">
        <v>93</v>
      </c>
    </row>
    <row r="23" spans="1:9" x14ac:dyDescent="0.35">
      <c r="A23" s="20" t="s">
        <v>24</v>
      </c>
      <c r="C23" s="21">
        <v>1104</v>
      </c>
      <c r="D23" s="21">
        <v>1042</v>
      </c>
      <c r="E23" s="21">
        <v>908</v>
      </c>
      <c r="F23" s="21">
        <v>838</v>
      </c>
      <c r="G23" s="21">
        <v>809</v>
      </c>
      <c r="I23" s="8"/>
    </row>
    <row r="25" spans="1:9" x14ac:dyDescent="0.35">
      <c r="A25" s="6" t="s">
        <v>25</v>
      </c>
      <c r="B25" s="7"/>
      <c r="C25" s="31"/>
      <c r="D25" s="31"/>
      <c r="E25" s="31"/>
      <c r="F25" s="31"/>
      <c r="G25" s="31"/>
      <c r="H25" s="7"/>
      <c r="I25" s="7"/>
    </row>
    <row r="26" spans="1:9" x14ac:dyDescent="0.35">
      <c r="A26" s="20" t="s">
        <v>26</v>
      </c>
      <c r="C26" s="32">
        <v>131</v>
      </c>
      <c r="D26" s="32">
        <v>143</v>
      </c>
      <c r="E26" s="32">
        <v>142</v>
      </c>
      <c r="F26" s="32">
        <v>138</v>
      </c>
      <c r="G26" s="32">
        <v>131</v>
      </c>
      <c r="I26" s="8" t="s">
        <v>94</v>
      </c>
    </row>
    <row r="27" spans="1:9" x14ac:dyDescent="0.35">
      <c r="A27" s="20" t="s">
        <v>27</v>
      </c>
      <c r="C27" s="32">
        <v>-139</v>
      </c>
      <c r="D27" s="32">
        <v>-374</v>
      </c>
      <c r="E27" s="32">
        <v>281</v>
      </c>
      <c r="F27" s="32">
        <v>-211</v>
      </c>
      <c r="G27" s="32">
        <v>-396</v>
      </c>
      <c r="I27" s="8" t="s">
        <v>95</v>
      </c>
    </row>
    <row r="28" spans="1:9" x14ac:dyDescent="0.35">
      <c r="A28" s="20" t="s">
        <v>28</v>
      </c>
      <c r="C28" s="32">
        <v>526</v>
      </c>
      <c r="D28" s="32">
        <v>626</v>
      </c>
      <c r="E28" s="32">
        <v>371</v>
      </c>
      <c r="F28" s="32">
        <v>720</v>
      </c>
      <c r="G28" s="32">
        <v>858</v>
      </c>
      <c r="I28" s="8" t="s">
        <v>96</v>
      </c>
    </row>
    <row r="29" spans="1:9" x14ac:dyDescent="0.35">
      <c r="A29" s="20" t="s">
        <v>29</v>
      </c>
      <c r="C29" s="32">
        <v>1914</v>
      </c>
      <c r="D29" s="32">
        <v>2537</v>
      </c>
      <c r="E29" s="32">
        <v>2669</v>
      </c>
      <c r="F29" s="32">
        <v>3461</v>
      </c>
      <c r="G29" s="32">
        <v>3434</v>
      </c>
      <c r="I29" s="8" t="s">
        <v>97</v>
      </c>
    </row>
    <row r="30" spans="1:9" x14ac:dyDescent="0.35">
      <c r="A30" s="20" t="s">
        <v>30</v>
      </c>
      <c r="C30" s="33">
        <v>161</v>
      </c>
      <c r="D30" s="33">
        <v>160.9</v>
      </c>
      <c r="E30" s="33">
        <v>161.19999999999999</v>
      </c>
      <c r="F30" s="33">
        <v>162.69999999999999</v>
      </c>
      <c r="G30" s="33">
        <v>163.6</v>
      </c>
      <c r="I30" s="8" t="s">
        <v>98</v>
      </c>
    </row>
    <row r="32" spans="1:9" x14ac:dyDescent="0.35">
      <c r="A32" s="6" t="s">
        <v>31</v>
      </c>
      <c r="B32" s="7"/>
      <c r="C32" s="31"/>
      <c r="D32" s="31"/>
      <c r="E32" s="31"/>
      <c r="F32" s="31"/>
      <c r="G32" s="31"/>
      <c r="H32" s="7"/>
      <c r="I32" s="7"/>
    </row>
    <row r="33" spans="1:9" x14ac:dyDescent="0.35">
      <c r="A33" s="20" t="s">
        <v>32</v>
      </c>
      <c r="C33" s="32">
        <v>270</v>
      </c>
      <c r="D33" s="32">
        <v>276</v>
      </c>
      <c r="E33" s="32">
        <v>282</v>
      </c>
      <c r="F33" s="32">
        <v>283</v>
      </c>
      <c r="G33" s="32">
        <v>289</v>
      </c>
      <c r="I33" s="8" t="s">
        <v>99</v>
      </c>
    </row>
    <row r="34" spans="1:9" x14ac:dyDescent="0.35">
      <c r="A34" s="20" t="s">
        <v>33</v>
      </c>
      <c r="C34" s="32">
        <v>0</v>
      </c>
      <c r="D34" s="32">
        <v>0</v>
      </c>
      <c r="E34" s="32">
        <v>0</v>
      </c>
      <c r="F34" s="32">
        <v>93</v>
      </c>
      <c r="G34" s="32">
        <v>92</v>
      </c>
      <c r="I34" s="8" t="s">
        <v>100</v>
      </c>
    </row>
    <row r="35" spans="1:9" x14ac:dyDescent="0.35">
      <c r="A35" s="20" t="s">
        <v>34</v>
      </c>
      <c r="C35" s="34">
        <v>1.4999999999999999E-2</v>
      </c>
      <c r="D35" s="34">
        <v>-1.0999999999999999E-2</v>
      </c>
      <c r="E35" s="34">
        <v>2.5999999999999999E-2</v>
      </c>
      <c r="F35" s="34">
        <v>3.5000000000000003E-2</v>
      </c>
      <c r="G35" s="34">
        <v>6.3E-2</v>
      </c>
      <c r="I35" s="8" t="s">
        <v>101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A0C23-786F-42DC-ADB7-A51623735BAB}">
  <dimension ref="A1:E304"/>
  <sheetViews>
    <sheetView zoomScaleNormal="100" workbookViewId="0">
      <selection activeCell="D265" sqref="D265"/>
    </sheetView>
  </sheetViews>
  <sheetFormatPr defaultColWidth="8.6328125" defaultRowHeight="14.5" x14ac:dyDescent="0.35"/>
  <cols>
    <col min="1" max="1" width="14" style="48" customWidth="1"/>
    <col min="2" max="4" width="22" style="48" customWidth="1"/>
    <col min="5" max="5" width="22" style="30" customWidth="1"/>
    <col min="6" max="16384" width="8.6328125" style="30"/>
  </cols>
  <sheetData>
    <row r="1" spans="1:5" ht="16.5" x14ac:dyDescent="0.35">
      <c r="A1" s="39" t="s">
        <v>131</v>
      </c>
      <c r="B1" s="41"/>
      <c r="C1" s="41"/>
      <c r="D1" s="41"/>
      <c r="E1" s="42"/>
    </row>
    <row r="2" spans="1:5" x14ac:dyDescent="0.35">
      <c r="A2" s="58" t="s">
        <v>150</v>
      </c>
      <c r="B2" s="57"/>
      <c r="C2" s="41"/>
      <c r="D2" s="41"/>
      <c r="E2" s="42"/>
    </row>
    <row r="3" spans="1:5" x14ac:dyDescent="0.35">
      <c r="A3" s="58"/>
      <c r="B3" s="57"/>
      <c r="C3" s="41"/>
      <c r="D3" s="41"/>
      <c r="E3" s="42"/>
    </row>
    <row r="4" spans="1:5" x14ac:dyDescent="0.35">
      <c r="A4" s="40" t="s">
        <v>132</v>
      </c>
      <c r="B4" s="40" t="s">
        <v>133</v>
      </c>
      <c r="C4" s="40" t="s">
        <v>134</v>
      </c>
      <c r="D4" s="40" t="s">
        <v>135</v>
      </c>
      <c r="E4" s="38" t="s">
        <v>136</v>
      </c>
    </row>
    <row r="5" spans="1:5" x14ac:dyDescent="0.35">
      <c r="A5" s="43">
        <v>44438</v>
      </c>
      <c r="B5" s="44">
        <v>47.404075622558594</v>
      </c>
      <c r="C5" s="44">
        <v>1161.8599853515625</v>
      </c>
      <c r="D5" s="41"/>
      <c r="E5" s="42"/>
    </row>
    <row r="6" spans="1:5" x14ac:dyDescent="0.35">
      <c r="A6" s="43">
        <v>44445</v>
      </c>
      <c r="B6" s="44">
        <v>46.753135681152344</v>
      </c>
      <c r="C6" s="44">
        <v>1152.02001953125</v>
      </c>
      <c r="D6" s="45">
        <v>-1.3731729452741037E-2</v>
      </c>
      <c r="E6" s="46">
        <v>-8.4691494193553929E-3</v>
      </c>
    </row>
    <row r="7" spans="1:5" x14ac:dyDescent="0.35">
      <c r="A7" s="43">
        <v>44452</v>
      </c>
      <c r="B7" s="44">
        <v>46.982879638671875</v>
      </c>
      <c r="C7" s="44">
        <v>1141.1700439453125</v>
      </c>
      <c r="D7" s="45">
        <v>4.9139796544630521E-3</v>
      </c>
      <c r="E7" s="46">
        <v>-9.4182179146090617E-3</v>
      </c>
    </row>
    <row r="8" spans="1:5" x14ac:dyDescent="0.35">
      <c r="A8" s="43">
        <v>44459</v>
      </c>
      <c r="B8" s="44">
        <v>44.915176391601563</v>
      </c>
      <c r="C8" s="44">
        <v>1155</v>
      </c>
      <c r="D8" s="45">
        <v>-4.4009717219809841E-2</v>
      </c>
      <c r="E8" s="46">
        <v>1.2119101906034935E-2</v>
      </c>
    </row>
    <row r="9" spans="1:5" x14ac:dyDescent="0.35">
      <c r="A9" s="43">
        <v>44466</v>
      </c>
      <c r="B9" s="44">
        <v>43.881317138671875</v>
      </c>
      <c r="C9" s="44">
        <v>1164.4300537109375</v>
      </c>
      <c r="D9" s="45">
        <v>-2.3018038355583581E-2</v>
      </c>
      <c r="E9" s="46">
        <v>8.1645486674783996E-3</v>
      </c>
    </row>
    <row r="10" spans="1:5" x14ac:dyDescent="0.35">
      <c r="A10" s="43">
        <v>44473</v>
      </c>
      <c r="B10" s="44">
        <v>44.03448486328125</v>
      </c>
      <c r="C10" s="44">
        <v>1167.3499755859375</v>
      </c>
      <c r="D10" s="45">
        <v>3.4904997068647692E-3</v>
      </c>
      <c r="E10" s="46">
        <v>2.5075974857351468E-3</v>
      </c>
    </row>
    <row r="11" spans="1:5" x14ac:dyDescent="0.35">
      <c r="A11" s="43">
        <v>44480</v>
      </c>
      <c r="B11" s="44">
        <v>45.183208465576172</v>
      </c>
      <c r="C11" s="44">
        <v>1197.5699462890625</v>
      </c>
      <c r="D11" s="45">
        <v>2.6086909063691488E-2</v>
      </c>
      <c r="E11" s="46">
        <v>2.5887669794961488E-2</v>
      </c>
    </row>
    <row r="12" spans="1:5" x14ac:dyDescent="0.35">
      <c r="A12" s="43">
        <v>44487</v>
      </c>
      <c r="B12" s="44">
        <v>46.485095977783203</v>
      </c>
      <c r="C12" s="44">
        <v>1217.7099609375</v>
      </c>
      <c r="D12" s="45">
        <v>2.8813525121813788E-2</v>
      </c>
      <c r="E12" s="46">
        <v>1.6817401531197262E-2</v>
      </c>
    </row>
    <row r="13" spans="1:5" x14ac:dyDescent="0.35">
      <c r="A13" s="43">
        <v>44494</v>
      </c>
      <c r="B13" s="44">
        <v>47.786983489990234</v>
      </c>
      <c r="C13" s="44">
        <v>1192.780029296875</v>
      </c>
      <c r="D13" s="45">
        <v>2.8006557474448357E-2</v>
      </c>
      <c r="E13" s="46">
        <v>-2.0472799303893119E-2</v>
      </c>
    </row>
    <row r="14" spans="1:5" x14ac:dyDescent="0.35">
      <c r="A14" s="43">
        <v>44501</v>
      </c>
      <c r="B14" s="44">
        <v>47.786983489990234</v>
      </c>
      <c r="C14" s="44">
        <v>1232.47998046875</v>
      </c>
      <c r="D14" s="45">
        <v>0</v>
      </c>
      <c r="E14" s="46">
        <v>3.328354784350096E-2</v>
      </c>
    </row>
    <row r="15" spans="1:5" x14ac:dyDescent="0.35">
      <c r="A15" s="43">
        <v>44508</v>
      </c>
      <c r="B15" s="44">
        <v>49.739818572998047</v>
      </c>
      <c r="C15" s="44">
        <v>1233.4300537109375</v>
      </c>
      <c r="D15" s="45">
        <v>4.0865418580289026E-2</v>
      </c>
      <c r="E15" s="46">
        <v>7.7086302190987332E-4</v>
      </c>
    </row>
    <row r="16" spans="1:5" x14ac:dyDescent="0.35">
      <c r="A16" s="43">
        <v>44515</v>
      </c>
      <c r="B16" s="44">
        <v>48.897418975830078</v>
      </c>
      <c r="C16" s="44">
        <v>1222.800048828125</v>
      </c>
      <c r="D16" s="45">
        <v>-1.6936121227134504E-2</v>
      </c>
      <c r="E16" s="46">
        <v>-8.6182470184107407E-3</v>
      </c>
    </row>
    <row r="17" spans="1:5" x14ac:dyDescent="0.35">
      <c r="A17" s="43">
        <v>44522</v>
      </c>
      <c r="B17" s="44">
        <v>47.786983489990234</v>
      </c>
      <c r="C17" s="44">
        <v>1174.9300537109375</v>
      </c>
      <c r="D17" s="45">
        <v>-2.2709490789048159E-2</v>
      </c>
      <c r="E17" s="46">
        <v>-3.9147851820143353E-2</v>
      </c>
    </row>
    <row r="18" spans="1:5" x14ac:dyDescent="0.35">
      <c r="A18" s="43">
        <v>44529</v>
      </c>
      <c r="B18" s="44">
        <v>46.791423797607422</v>
      </c>
      <c r="C18" s="44">
        <v>1174.739990234375</v>
      </c>
      <c r="D18" s="45">
        <v>-2.0833281778318335E-2</v>
      </c>
      <c r="E18" s="46">
        <v>-1.6176577998172625E-4</v>
      </c>
    </row>
    <row r="19" spans="1:5" x14ac:dyDescent="0.35">
      <c r="A19" s="43">
        <v>44536</v>
      </c>
      <c r="B19" s="44">
        <v>48.974002838134766</v>
      </c>
      <c r="C19" s="44">
        <v>1184.8900146484375</v>
      </c>
      <c r="D19" s="45">
        <v>4.6644852055964581E-2</v>
      </c>
      <c r="E19" s="46">
        <v>8.6402306028905418E-3</v>
      </c>
    </row>
    <row r="20" spans="1:5" x14ac:dyDescent="0.35">
      <c r="A20" s="43">
        <v>44543</v>
      </c>
      <c r="B20" s="44">
        <v>50.811965942382813</v>
      </c>
      <c r="C20" s="44">
        <v>1168.4599609375</v>
      </c>
      <c r="D20" s="45">
        <v>3.7529362472631611E-2</v>
      </c>
      <c r="E20" s="46">
        <v>-1.386631122536075E-2</v>
      </c>
    </row>
    <row r="21" spans="1:5" x14ac:dyDescent="0.35">
      <c r="A21" s="43">
        <v>44550</v>
      </c>
      <c r="B21" s="44">
        <v>52.037265777587891</v>
      </c>
      <c r="C21" s="44">
        <v>1195.4200439453125</v>
      </c>
      <c r="D21" s="45">
        <v>2.411439534920734E-2</v>
      </c>
      <c r="E21" s="46">
        <v>2.3073176582089738E-2</v>
      </c>
    </row>
    <row r="22" spans="1:5" x14ac:dyDescent="0.35">
      <c r="A22" s="43">
        <v>44557</v>
      </c>
      <c r="B22" s="44">
        <v>53.990108489990234</v>
      </c>
      <c r="C22" s="44">
        <v>1201.4300537109375</v>
      </c>
      <c r="D22" s="45">
        <v>3.7527773283649646E-2</v>
      </c>
      <c r="E22" s="46">
        <v>5.0275296922326351E-3</v>
      </c>
    </row>
    <row r="23" spans="1:5" x14ac:dyDescent="0.35">
      <c r="A23" s="43">
        <v>44564</v>
      </c>
      <c r="B23" s="44">
        <v>52.841377258300781</v>
      </c>
      <c r="C23" s="44">
        <v>1207.9300537109375</v>
      </c>
      <c r="D23" s="45">
        <v>-2.1276697969636937E-2</v>
      </c>
      <c r="E23" s="46">
        <v>5.410219246574588E-3</v>
      </c>
    </row>
    <row r="24" spans="1:5" x14ac:dyDescent="0.35">
      <c r="A24" s="43">
        <v>44571</v>
      </c>
      <c r="B24" s="44">
        <v>52.994541168212891</v>
      </c>
      <c r="C24" s="44">
        <v>1218.949951171875</v>
      </c>
      <c r="D24" s="45">
        <v>2.8985601409177164E-3</v>
      </c>
      <c r="E24" s="46">
        <v>9.1229599156696928E-3</v>
      </c>
    </row>
    <row r="25" spans="1:5" x14ac:dyDescent="0.35">
      <c r="A25" s="43">
        <v>44578</v>
      </c>
      <c r="B25" s="44">
        <v>51.271450042724609</v>
      </c>
      <c r="C25" s="44">
        <v>1182.75</v>
      </c>
      <c r="D25" s="45">
        <v>-3.251450220163099E-2</v>
      </c>
      <c r="E25" s="46">
        <v>-2.9697651767468414E-2</v>
      </c>
    </row>
    <row r="26" spans="1:5" x14ac:dyDescent="0.35">
      <c r="A26" s="43">
        <v>44585</v>
      </c>
      <c r="B26" s="44">
        <v>48.974002838134766</v>
      </c>
      <c r="C26" s="44">
        <v>1170.0799560546875</v>
      </c>
      <c r="D26" s="45">
        <v>-4.4809483692686225E-2</v>
      </c>
      <c r="E26" s="46">
        <v>-1.0712360131314713E-2</v>
      </c>
    </row>
    <row r="27" spans="1:5" x14ac:dyDescent="0.35">
      <c r="A27" s="43">
        <v>44592</v>
      </c>
      <c r="B27" s="44">
        <v>47.174331665039063</v>
      </c>
      <c r="C27" s="44">
        <v>1192.489990234375</v>
      </c>
      <c r="D27" s="45">
        <v>-3.6747479658623017E-2</v>
      </c>
      <c r="E27" s="46">
        <v>1.9152566509429203E-2</v>
      </c>
    </row>
    <row r="28" spans="1:5" x14ac:dyDescent="0.35">
      <c r="A28" s="43">
        <v>44599</v>
      </c>
      <c r="B28" s="44">
        <v>48.016731262207031</v>
      </c>
      <c r="C28" s="44">
        <v>1213.6700439453125</v>
      </c>
      <c r="D28" s="45">
        <v>1.7857160185106968E-2</v>
      </c>
      <c r="E28" s="46">
        <v>1.7761200416260614E-2</v>
      </c>
    </row>
    <row r="29" spans="1:5" x14ac:dyDescent="0.35">
      <c r="A29" s="43">
        <v>44606</v>
      </c>
      <c r="B29" s="44">
        <v>46.982879638671875</v>
      </c>
      <c r="C29" s="44">
        <v>1188.93994140625</v>
      </c>
      <c r="D29" s="45">
        <v>-2.1531070448955747E-2</v>
      </c>
      <c r="E29" s="46">
        <v>-2.0376298041164143E-2</v>
      </c>
    </row>
    <row r="30" spans="1:5" x14ac:dyDescent="0.35">
      <c r="A30" s="43">
        <v>44613</v>
      </c>
      <c r="B30" s="44">
        <v>44.379100799560547</v>
      </c>
      <c r="C30" s="44">
        <v>1185.9100341796875</v>
      </c>
      <c r="D30" s="45">
        <v>-5.5419737128418634E-2</v>
      </c>
      <c r="E30" s="46">
        <v>-2.5484106648639981E-3</v>
      </c>
    </row>
    <row r="31" spans="1:5" x14ac:dyDescent="0.35">
      <c r="A31" s="43">
        <v>44620</v>
      </c>
      <c r="B31" s="44">
        <v>41.813610076904297</v>
      </c>
      <c r="C31" s="44">
        <v>1190.4000244140625</v>
      </c>
      <c r="D31" s="45">
        <v>-5.7808533215744085E-2</v>
      </c>
      <c r="E31" s="46">
        <v>3.7861137059025385E-3</v>
      </c>
    </row>
    <row r="32" spans="1:5" x14ac:dyDescent="0.35">
      <c r="A32" s="43">
        <v>44627</v>
      </c>
      <c r="B32" s="44">
        <v>43.460121154785156</v>
      </c>
      <c r="C32" s="44">
        <v>1194.2900390625</v>
      </c>
      <c r="D32" s="45">
        <v>3.9377395896995404E-2</v>
      </c>
      <c r="E32" s="46">
        <v>3.2678213782397769E-3</v>
      </c>
    </row>
    <row r="33" spans="1:5" x14ac:dyDescent="0.35">
      <c r="A33" s="43">
        <v>44634</v>
      </c>
      <c r="B33" s="44">
        <v>44.111064910888672</v>
      </c>
      <c r="C33" s="44">
        <v>1228.5400390625</v>
      </c>
      <c r="D33" s="45">
        <v>1.497795539467428E-2</v>
      </c>
      <c r="E33" s="46">
        <v>2.8678125815137623E-2</v>
      </c>
    </row>
    <row r="34" spans="1:5" x14ac:dyDescent="0.35">
      <c r="A34" s="43">
        <v>44641</v>
      </c>
      <c r="B34" s="44">
        <v>45.10662841796875</v>
      </c>
      <c r="C34" s="44">
        <v>1261.530029296875</v>
      </c>
      <c r="D34" s="45">
        <v>2.2569473421040209E-2</v>
      </c>
      <c r="E34" s="46">
        <v>2.6853003716142299E-2</v>
      </c>
    </row>
    <row r="35" spans="1:5" x14ac:dyDescent="0.35">
      <c r="A35" s="43">
        <v>44648</v>
      </c>
      <c r="B35" s="44">
        <v>43.268665313720703</v>
      </c>
      <c r="C35" s="44">
        <v>1269.8399658203125</v>
      </c>
      <c r="D35" s="45">
        <v>-4.0747073516935073E-2</v>
      </c>
      <c r="E35" s="46">
        <v>6.5871888345527818E-3</v>
      </c>
    </row>
    <row r="36" spans="1:5" x14ac:dyDescent="0.35">
      <c r="A36" s="43">
        <v>44655</v>
      </c>
      <c r="B36" s="44">
        <v>43.115497589111328</v>
      </c>
      <c r="C36" s="44">
        <v>1276.6199951171875</v>
      </c>
      <c r="D36" s="45">
        <v>-3.5399225628715003E-3</v>
      </c>
      <c r="E36" s="46">
        <v>5.3392785542822896E-3</v>
      </c>
    </row>
    <row r="37" spans="1:5" x14ac:dyDescent="0.35">
      <c r="A37" s="43">
        <v>44662</v>
      </c>
      <c r="B37" s="44">
        <v>43.038925170898438</v>
      </c>
      <c r="C37" s="44">
        <v>1283.1300048828125</v>
      </c>
      <c r="D37" s="45">
        <v>-1.7759836368496096E-3</v>
      </c>
      <c r="E37" s="46">
        <v>5.0994107804394062E-3</v>
      </c>
    </row>
    <row r="38" spans="1:5" x14ac:dyDescent="0.35">
      <c r="A38" s="43">
        <v>44669</v>
      </c>
      <c r="B38" s="44">
        <v>44.222785949707031</v>
      </c>
      <c r="C38" s="44">
        <v>1263.8800048828125</v>
      </c>
      <c r="D38" s="45">
        <v>2.7506745907518226E-2</v>
      </c>
      <c r="E38" s="46">
        <v>-1.5002376942902296E-2</v>
      </c>
    </row>
    <row r="39" spans="1:5" x14ac:dyDescent="0.35">
      <c r="A39" s="43">
        <v>44676</v>
      </c>
      <c r="B39" s="44">
        <v>39.585186004638672</v>
      </c>
      <c r="C39" s="44">
        <v>1239.8199462890625</v>
      </c>
      <c r="D39" s="45">
        <v>-0.10486901368770696</v>
      </c>
      <c r="E39" s="46">
        <v>-1.9036663687056921E-2</v>
      </c>
    </row>
    <row r="40" spans="1:5" x14ac:dyDescent="0.35">
      <c r="A40" s="43">
        <v>44683</v>
      </c>
      <c r="B40" s="44">
        <v>40.463020324707031</v>
      </c>
      <c r="C40" s="44">
        <v>1213.8399658203125</v>
      </c>
      <c r="D40" s="45">
        <v>2.2175829108532996E-2</v>
      </c>
      <c r="E40" s="46">
        <v>-2.0954639862434399E-2</v>
      </c>
    </row>
    <row r="41" spans="1:5" x14ac:dyDescent="0.35">
      <c r="A41" s="43">
        <v>44690</v>
      </c>
      <c r="B41" s="44">
        <v>41.696945190429688</v>
      </c>
      <c r="C41" s="44">
        <v>1214.72998046875</v>
      </c>
      <c r="D41" s="45">
        <v>3.0495125075208795E-2</v>
      </c>
      <c r="E41" s="46">
        <v>7.3322239627859886E-4</v>
      </c>
    </row>
    <row r="42" spans="1:5" x14ac:dyDescent="0.35">
      <c r="A42" s="43">
        <v>44697</v>
      </c>
      <c r="B42" s="44">
        <v>38.988925933837891</v>
      </c>
      <c r="C42" s="44">
        <v>1238.1199951171875</v>
      </c>
      <c r="D42" s="45">
        <v>-6.4945267434443732E-2</v>
      </c>
      <c r="E42" s="46">
        <v>1.9255320132472109E-2</v>
      </c>
    </row>
    <row r="43" spans="1:5" x14ac:dyDescent="0.35">
      <c r="A43" s="43">
        <v>44704</v>
      </c>
      <c r="B43" s="44">
        <v>40.380203247070313</v>
      </c>
      <c r="C43" s="44">
        <v>1276.5400390625</v>
      </c>
      <c r="D43" s="45">
        <v>3.5683909723323692E-2</v>
      </c>
      <c r="E43" s="46">
        <v>3.103095345914042E-2</v>
      </c>
    </row>
    <row r="44" spans="1:5" x14ac:dyDescent="0.35">
      <c r="A44" s="43">
        <v>44711</v>
      </c>
      <c r="B44" s="44">
        <v>39.750812530517578</v>
      </c>
      <c r="C44" s="44">
        <v>1266.5899658203125</v>
      </c>
      <c r="D44" s="45">
        <v>-1.5586615864752962E-2</v>
      </c>
      <c r="E44" s="46">
        <v>-7.7945641638431651E-3</v>
      </c>
    </row>
    <row r="45" spans="1:5" x14ac:dyDescent="0.35">
      <c r="A45" s="43">
        <v>44718</v>
      </c>
      <c r="B45" s="44">
        <v>38.260162353515625</v>
      </c>
      <c r="C45" s="44">
        <v>1232.6700439453125</v>
      </c>
      <c r="D45" s="45">
        <v>-3.7499866848194507E-2</v>
      </c>
      <c r="E45" s="46">
        <v>-2.6780507338877935E-2</v>
      </c>
    </row>
    <row r="46" spans="1:5" x14ac:dyDescent="0.35">
      <c r="A46" s="43">
        <v>44725</v>
      </c>
      <c r="B46" s="44">
        <v>37.349201202392578</v>
      </c>
      <c r="C46" s="44">
        <v>1195.9300537109375</v>
      </c>
      <c r="D46" s="45">
        <v>-2.3809652000583825E-2</v>
      </c>
      <c r="E46" s="46">
        <v>-2.980521057912966E-2</v>
      </c>
    </row>
    <row r="47" spans="1:5" x14ac:dyDescent="0.35">
      <c r="A47" s="43">
        <v>44732</v>
      </c>
      <c r="B47" s="44">
        <v>38.342971801757813</v>
      </c>
      <c r="C47" s="44">
        <v>1161.219970703125</v>
      </c>
      <c r="D47" s="45">
        <v>2.6607546276025129E-2</v>
      </c>
      <c r="E47" s="46">
        <v>-2.9023505931729088E-2</v>
      </c>
    </row>
    <row r="48" spans="1:5" x14ac:dyDescent="0.35">
      <c r="A48" s="43">
        <v>44739</v>
      </c>
      <c r="B48" s="44">
        <v>38.591419219970703</v>
      </c>
      <c r="C48" s="44">
        <v>1163.5699462890625</v>
      </c>
      <c r="D48" s="45">
        <v>6.4796077752506953E-3</v>
      </c>
      <c r="E48" s="46">
        <v>2.023712685990553E-3</v>
      </c>
    </row>
    <row r="49" spans="1:5" x14ac:dyDescent="0.35">
      <c r="A49" s="43">
        <v>44746</v>
      </c>
      <c r="B49" s="44">
        <v>39.220806121826172</v>
      </c>
      <c r="C49" s="44">
        <v>1186.43994140625</v>
      </c>
      <c r="D49" s="45">
        <v>1.6308985639216012E-2</v>
      </c>
      <c r="E49" s="46">
        <v>1.9655023911648861E-2</v>
      </c>
    </row>
    <row r="50" spans="1:5" x14ac:dyDescent="0.35">
      <c r="A50" s="43">
        <v>44753</v>
      </c>
      <c r="B50" s="44">
        <v>46.790019989013672</v>
      </c>
      <c r="C50" s="44">
        <v>1159.9599609375</v>
      </c>
      <c r="D50" s="45">
        <v>0.19298975762191883</v>
      </c>
      <c r="E50" s="46">
        <v>-2.2318854536677257E-2</v>
      </c>
    </row>
    <row r="51" spans="1:5" x14ac:dyDescent="0.35">
      <c r="A51" s="43">
        <v>44760</v>
      </c>
      <c r="B51" s="44">
        <v>47.245502471923828</v>
      </c>
      <c r="C51" s="44">
        <v>1204</v>
      </c>
      <c r="D51" s="45">
        <v>9.734607572664089E-3</v>
      </c>
      <c r="E51" s="46">
        <v>3.7966861396583118E-2</v>
      </c>
    </row>
    <row r="52" spans="1:5" x14ac:dyDescent="0.35">
      <c r="A52" s="43">
        <v>44767</v>
      </c>
      <c r="B52" s="44">
        <v>47.204093933105469</v>
      </c>
      <c r="C52" s="44">
        <v>1253.1800537109375</v>
      </c>
      <c r="D52" s="45">
        <v>-8.7645461793883772E-4</v>
      </c>
      <c r="E52" s="46">
        <v>4.0847220690147346E-2</v>
      </c>
    </row>
    <row r="53" spans="1:5" x14ac:dyDescent="0.35">
      <c r="A53" s="43">
        <v>44774</v>
      </c>
      <c r="B53" s="44">
        <v>48.446308135986328</v>
      </c>
      <c r="C53" s="44">
        <v>1245.1800537109375</v>
      </c>
      <c r="D53" s="45">
        <v>2.6315814993530973E-2</v>
      </c>
      <c r="E53" s="46">
        <v>-6.3837594416782384E-3</v>
      </c>
    </row>
    <row r="54" spans="1:5" x14ac:dyDescent="0.35">
      <c r="A54" s="43">
        <v>44781</v>
      </c>
      <c r="B54" s="44">
        <v>49.067413330078125</v>
      </c>
      <c r="C54" s="44">
        <v>1261.75</v>
      </c>
      <c r="D54" s="45">
        <v>1.2820485564109196E-2</v>
      </c>
      <c r="E54" s="46">
        <v>1.3307269289834833E-2</v>
      </c>
    </row>
    <row r="55" spans="1:5" x14ac:dyDescent="0.35">
      <c r="A55" s="43">
        <v>44788</v>
      </c>
      <c r="B55" s="44">
        <v>49.854148864746094</v>
      </c>
      <c r="C55" s="44">
        <v>1269.0400390625</v>
      </c>
      <c r="D55" s="45">
        <v>1.6033768264399173E-2</v>
      </c>
      <c r="E55" s="46">
        <v>5.7777206756488564E-3</v>
      </c>
    </row>
    <row r="56" spans="1:5" x14ac:dyDescent="0.35">
      <c r="A56" s="43">
        <v>44795</v>
      </c>
      <c r="B56" s="44">
        <v>49.854148864746094</v>
      </c>
      <c r="C56" s="44">
        <v>1276.0999755859375</v>
      </c>
      <c r="D56" s="45">
        <v>0</v>
      </c>
      <c r="E56" s="46">
        <v>5.563210226726234E-3</v>
      </c>
    </row>
    <row r="57" spans="1:5" x14ac:dyDescent="0.35">
      <c r="A57" s="43">
        <v>44802</v>
      </c>
      <c r="B57" s="44">
        <v>48.322086334228516</v>
      </c>
      <c r="C57" s="44">
        <v>1237.6700439453125</v>
      </c>
      <c r="D57" s="45">
        <v>-3.0730893323924757E-2</v>
      </c>
      <c r="E57" s="46">
        <v>-3.0115141741131501E-2</v>
      </c>
    </row>
    <row r="58" spans="1:5" x14ac:dyDescent="0.35">
      <c r="A58" s="43">
        <v>44809</v>
      </c>
      <c r="B58" s="44">
        <v>48.860378265380859</v>
      </c>
      <c r="C58" s="44">
        <v>1207.6099853515625</v>
      </c>
      <c r="D58" s="45">
        <v>1.113966659943344E-2</v>
      </c>
      <c r="E58" s="46">
        <v>-2.4287619095900381E-2</v>
      </c>
    </row>
    <row r="59" spans="1:5" x14ac:dyDescent="0.35">
      <c r="A59" s="43">
        <v>44816</v>
      </c>
      <c r="B59" s="44">
        <v>48.197864532470703</v>
      </c>
      <c r="C59" s="44">
        <v>1175.1500244140625</v>
      </c>
      <c r="D59" s="45">
        <v>-1.3559324680455176E-2</v>
      </c>
      <c r="E59" s="46">
        <v>-2.6879506903091821E-2</v>
      </c>
    </row>
    <row r="60" spans="1:5" x14ac:dyDescent="0.35">
      <c r="A60" s="43">
        <v>44823</v>
      </c>
      <c r="B60" s="44">
        <v>45.589218139648438</v>
      </c>
      <c r="C60" s="44">
        <v>1112.199951171875</v>
      </c>
      <c r="D60" s="45">
        <v>-5.4123692369499765E-2</v>
      </c>
      <c r="E60" s="46">
        <v>-5.3567690877234897E-2</v>
      </c>
    </row>
    <row r="61" spans="1:5" x14ac:dyDescent="0.35">
      <c r="A61" s="43">
        <v>44830</v>
      </c>
      <c r="B61" s="44">
        <v>45.092330932617188</v>
      </c>
      <c r="C61" s="44">
        <v>1102.7900390625</v>
      </c>
      <c r="D61" s="45">
        <v>-1.0899226337007795E-2</v>
      </c>
      <c r="E61" s="46">
        <v>-8.4606298529865676E-3</v>
      </c>
    </row>
    <row r="62" spans="1:5" x14ac:dyDescent="0.35">
      <c r="A62" s="43">
        <v>44837</v>
      </c>
      <c r="B62" s="44">
        <v>48.197864532470703</v>
      </c>
      <c r="C62" s="44">
        <v>1136.4300537109375</v>
      </c>
      <c r="D62" s="45">
        <v>6.8870549284626881E-2</v>
      </c>
      <c r="E62" s="46">
        <v>3.0504460012202639E-2</v>
      </c>
    </row>
    <row r="63" spans="1:5" x14ac:dyDescent="0.35">
      <c r="A63" s="43">
        <v>44844</v>
      </c>
      <c r="B63" s="44">
        <v>48.280677795410156</v>
      </c>
      <c r="C63" s="44">
        <v>1113.199951171875</v>
      </c>
      <c r="D63" s="45">
        <v>1.718193611745189E-3</v>
      </c>
      <c r="E63" s="46">
        <v>-2.0441295496547385E-2</v>
      </c>
    </row>
    <row r="64" spans="1:5" x14ac:dyDescent="0.35">
      <c r="A64" s="43">
        <v>44851</v>
      </c>
      <c r="B64" s="44">
        <v>48.529117584228516</v>
      </c>
      <c r="C64" s="44">
        <v>1131.550048828125</v>
      </c>
      <c r="D64" s="45">
        <v>5.1457394585703309E-3</v>
      </c>
      <c r="E64" s="46">
        <v>1.6484098509825351E-2</v>
      </c>
    </row>
    <row r="65" spans="1:5" x14ac:dyDescent="0.35">
      <c r="A65" s="43">
        <v>44858</v>
      </c>
      <c r="B65" s="44">
        <v>51.137771606445313</v>
      </c>
      <c r="C65" s="44">
        <v>1164.489990234375</v>
      </c>
      <c r="D65" s="45">
        <v>5.3754408735933401E-2</v>
      </c>
      <c r="E65" s="46">
        <v>2.911045909137111E-2</v>
      </c>
    </row>
    <row r="66" spans="1:5" x14ac:dyDescent="0.35">
      <c r="A66" s="43">
        <v>44865</v>
      </c>
      <c r="B66" s="44">
        <v>48.8189697265625</v>
      </c>
      <c r="C66" s="44">
        <v>1199.27001953125</v>
      </c>
      <c r="D66" s="45">
        <v>-4.5344210493336257E-2</v>
      </c>
      <c r="E66" s="46">
        <v>2.9867177552874269E-2</v>
      </c>
    </row>
    <row r="67" spans="1:5" x14ac:dyDescent="0.35">
      <c r="A67" s="43">
        <v>44872</v>
      </c>
      <c r="B67" s="44">
        <v>47.908012390136719</v>
      </c>
      <c r="C67" s="44">
        <v>1196.2099609375</v>
      </c>
      <c r="D67" s="45">
        <v>-1.8659904982184172E-2</v>
      </c>
      <c r="E67" s="46">
        <v>-2.5516010105430809E-3</v>
      </c>
    </row>
    <row r="68" spans="1:5" x14ac:dyDescent="0.35">
      <c r="A68" s="43">
        <v>44879</v>
      </c>
      <c r="B68" s="44">
        <v>48.984603881835938</v>
      </c>
      <c r="C68" s="44">
        <v>1176.510009765625</v>
      </c>
      <c r="D68" s="45">
        <v>2.2472055048580186E-2</v>
      </c>
      <c r="E68" s="46">
        <v>-1.6468639967214149E-2</v>
      </c>
    </row>
    <row r="69" spans="1:5" x14ac:dyDescent="0.35">
      <c r="A69" s="43">
        <v>44886</v>
      </c>
      <c r="B69" s="44">
        <v>51.054954528808594</v>
      </c>
      <c r="C69" s="44">
        <v>1215.510009765625</v>
      </c>
      <c r="D69" s="45">
        <v>4.2265334062247417E-2</v>
      </c>
      <c r="E69" s="46">
        <v>3.314888923704884E-2</v>
      </c>
    </row>
    <row r="70" spans="1:5" x14ac:dyDescent="0.35">
      <c r="A70" s="43">
        <v>44893</v>
      </c>
      <c r="B70" s="44">
        <v>52.090133666992188</v>
      </c>
      <c r="C70" s="44">
        <v>1210.0400390625</v>
      </c>
      <c r="D70" s="45">
        <v>2.0275782198561743E-2</v>
      </c>
      <c r="E70" s="46">
        <v>-4.5001445147948571E-3</v>
      </c>
    </row>
    <row r="71" spans="1:5" x14ac:dyDescent="0.35">
      <c r="A71" s="43">
        <v>44900</v>
      </c>
      <c r="B71" s="44">
        <v>53.456573486328125</v>
      </c>
      <c r="C71" s="44">
        <v>1196.530029296875</v>
      </c>
      <c r="D71" s="45">
        <v>2.6232219484623842E-2</v>
      </c>
      <c r="E71" s="46">
        <v>-1.1164927877999942E-2</v>
      </c>
    </row>
    <row r="72" spans="1:5" x14ac:dyDescent="0.35">
      <c r="A72" s="43">
        <v>44907</v>
      </c>
      <c r="B72" s="44">
        <v>54.781593322753906</v>
      </c>
      <c r="C72" s="44">
        <v>1180.7900390625</v>
      </c>
      <c r="D72" s="45">
        <v>2.4786845658273604E-2</v>
      </c>
      <c r="E72" s="46">
        <v>-1.3154697206909538E-2</v>
      </c>
    </row>
    <row r="73" spans="1:5" x14ac:dyDescent="0.35">
      <c r="A73" s="43">
        <v>44914</v>
      </c>
      <c r="B73" s="44">
        <v>56.189430236816406</v>
      </c>
      <c r="C73" s="44">
        <v>1199.7099609375</v>
      </c>
      <c r="D73" s="45">
        <v>2.5699086657958725E-2</v>
      </c>
      <c r="E73" s="46">
        <v>1.602310423453579E-2</v>
      </c>
    </row>
    <row r="74" spans="1:5" x14ac:dyDescent="0.35">
      <c r="A74" s="43">
        <v>44921</v>
      </c>
      <c r="B74" s="44">
        <v>56.851955413818359</v>
      </c>
      <c r="C74" s="44">
        <v>1189</v>
      </c>
      <c r="D74" s="45">
        <v>1.1790921783859876E-2</v>
      </c>
      <c r="E74" s="46">
        <v>-8.9271251270856E-3</v>
      </c>
    </row>
    <row r="75" spans="1:5" x14ac:dyDescent="0.35">
      <c r="A75" s="43">
        <v>44928</v>
      </c>
      <c r="B75" s="44">
        <v>57.307422637939453</v>
      </c>
      <c r="C75" s="44">
        <v>1185.8199462890625</v>
      </c>
      <c r="D75" s="45">
        <v>8.0114610096662098E-3</v>
      </c>
      <c r="E75" s="46">
        <v>-2.6745615735387362E-3</v>
      </c>
    </row>
    <row r="76" spans="1:5" x14ac:dyDescent="0.35">
      <c r="A76" s="43">
        <v>44935</v>
      </c>
      <c r="B76" s="44">
        <v>57.638679504394531</v>
      </c>
      <c r="C76" s="44">
        <v>1192.510009765625</v>
      </c>
      <c r="D76" s="45">
        <v>5.7803483598959371E-3</v>
      </c>
      <c r="E76" s="46">
        <v>5.6417194680344895E-3</v>
      </c>
    </row>
    <row r="77" spans="1:5" x14ac:dyDescent="0.35">
      <c r="A77" s="43">
        <v>44942</v>
      </c>
      <c r="B77" s="44">
        <v>53.953456878662109</v>
      </c>
      <c r="C77" s="44">
        <v>1189.3199462890625</v>
      </c>
      <c r="D77" s="45">
        <v>-6.3936624805074671E-2</v>
      </c>
      <c r="E77" s="46">
        <v>-2.675083186253091E-3</v>
      </c>
    </row>
    <row r="78" spans="1:5" x14ac:dyDescent="0.35">
      <c r="A78" s="43">
        <v>44949</v>
      </c>
      <c r="B78" s="44">
        <v>53.290935516357422</v>
      </c>
      <c r="C78" s="44">
        <v>1199.1600341796875</v>
      </c>
      <c r="D78" s="45">
        <v>-1.2279497934574501E-2</v>
      </c>
      <c r="E78" s="46">
        <v>8.273709628202397E-3</v>
      </c>
    </row>
    <row r="79" spans="1:5" x14ac:dyDescent="0.35">
      <c r="A79" s="43">
        <v>44956</v>
      </c>
      <c r="B79" s="44">
        <v>56.603500366210938</v>
      </c>
      <c r="C79" s="44">
        <v>1211.3499755859375</v>
      </c>
      <c r="D79" s="45">
        <v>6.2160005594886547E-2</v>
      </c>
      <c r="E79" s="46">
        <v>1.016539999566346E-2</v>
      </c>
    </row>
    <row r="80" spans="1:5" x14ac:dyDescent="0.35">
      <c r="A80" s="43">
        <v>44963</v>
      </c>
      <c r="B80" s="44">
        <v>58.176975250244141</v>
      </c>
      <c r="C80" s="44">
        <v>1238.25</v>
      </c>
      <c r="D80" s="45">
        <v>2.7798190462660521E-2</v>
      </c>
      <c r="E80" s="46">
        <v>2.220664956966778E-2</v>
      </c>
    </row>
    <row r="81" spans="1:5" x14ac:dyDescent="0.35">
      <c r="A81" s="43">
        <v>44970</v>
      </c>
      <c r="B81" s="44">
        <v>60.951248168945313</v>
      </c>
      <c r="C81" s="44">
        <v>1229.489990234375</v>
      </c>
      <c r="D81" s="45">
        <v>4.7686785137381893E-2</v>
      </c>
      <c r="E81" s="46">
        <v>-7.0745081894810768E-3</v>
      </c>
    </row>
    <row r="82" spans="1:5" x14ac:dyDescent="0.35">
      <c r="A82" s="43">
        <v>44977</v>
      </c>
      <c r="B82" s="44">
        <v>61.655170440673828</v>
      </c>
      <c r="C82" s="44">
        <v>1226.6500244140625</v>
      </c>
      <c r="D82" s="45">
        <v>1.1548939404446346E-2</v>
      </c>
      <c r="E82" s="46">
        <v>-2.3098730716556437E-3</v>
      </c>
    </row>
    <row r="83" spans="1:5" x14ac:dyDescent="0.35">
      <c r="A83" s="43">
        <v>44984</v>
      </c>
      <c r="B83" s="44">
        <v>60.909847259521484</v>
      </c>
      <c r="C83" s="44">
        <v>1255.9200439453125</v>
      </c>
      <c r="D83" s="45">
        <v>-1.2088575472668839E-2</v>
      </c>
      <c r="E83" s="46">
        <v>2.3861752699374517E-2</v>
      </c>
    </row>
    <row r="84" spans="1:5" x14ac:dyDescent="0.35">
      <c r="A84" s="43">
        <v>44991</v>
      </c>
      <c r="B84" s="44">
        <v>60.330142974853516</v>
      </c>
      <c r="C84" s="44">
        <v>1220.5799560546875</v>
      </c>
      <c r="D84" s="45">
        <v>-9.5174148475203335E-3</v>
      </c>
      <c r="E84" s="46">
        <v>-2.8138803947748592E-2</v>
      </c>
    </row>
    <row r="85" spans="1:5" x14ac:dyDescent="0.35">
      <c r="A85" s="43">
        <v>44998</v>
      </c>
      <c r="B85" s="44">
        <v>57.141796112060547</v>
      </c>
      <c r="C85" s="44">
        <v>1153</v>
      </c>
      <c r="D85" s="45">
        <v>-5.2848322672165993E-2</v>
      </c>
      <c r="E85" s="46">
        <v>-5.5367086539031773E-2</v>
      </c>
    </row>
    <row r="86" spans="1:5" x14ac:dyDescent="0.35">
      <c r="A86" s="43">
        <v>45005</v>
      </c>
      <c r="B86" s="44">
        <v>61.075469970703125</v>
      </c>
      <c r="C86" s="44">
        <v>1141.949951171875</v>
      </c>
      <c r="D86" s="45">
        <v>6.8840570760643649E-2</v>
      </c>
      <c r="E86" s="46">
        <v>-9.5837370582176895E-3</v>
      </c>
    </row>
    <row r="87" spans="1:5" x14ac:dyDescent="0.35">
      <c r="A87" s="43">
        <v>45012</v>
      </c>
      <c r="B87" s="44">
        <v>60.164520263671875</v>
      </c>
      <c r="C87" s="44">
        <v>1193.5699462890625</v>
      </c>
      <c r="D87" s="45">
        <v>-1.491514854438647E-2</v>
      </c>
      <c r="E87" s="46">
        <v>4.5203377839996284E-2</v>
      </c>
    </row>
    <row r="88" spans="1:5" x14ac:dyDescent="0.35">
      <c r="A88" s="43">
        <v>45019</v>
      </c>
      <c r="B88" s="44">
        <v>61.903606414794922</v>
      </c>
      <c r="C88" s="44">
        <v>1195.22998046875</v>
      </c>
      <c r="D88" s="45">
        <v>2.8905510149527913E-2</v>
      </c>
      <c r="E88" s="46">
        <v>1.3908143254182104E-3</v>
      </c>
    </row>
    <row r="89" spans="1:5" x14ac:dyDescent="0.35">
      <c r="A89" s="43">
        <v>45026</v>
      </c>
      <c r="B89" s="44">
        <v>62.400501251220703</v>
      </c>
      <c r="C89" s="44">
        <v>1224.5799560546875</v>
      </c>
      <c r="D89" s="45">
        <v>8.0269125694594212E-3</v>
      </c>
      <c r="E89" s="46">
        <v>2.4555923182605355E-2</v>
      </c>
    </row>
    <row r="90" spans="1:5" x14ac:dyDescent="0.35">
      <c r="A90" s="43">
        <v>45033</v>
      </c>
      <c r="B90" s="44">
        <v>62.545497894287109</v>
      </c>
      <c r="C90" s="44">
        <v>1210.239990234375</v>
      </c>
      <c r="D90" s="45">
        <v>2.3236454861581546E-3</v>
      </c>
      <c r="E90" s="46">
        <v>-1.171010986208898E-2</v>
      </c>
    </row>
    <row r="91" spans="1:5" x14ac:dyDescent="0.35">
      <c r="A91" s="43">
        <v>45040</v>
      </c>
      <c r="B91" s="44">
        <v>66.747306823730469</v>
      </c>
      <c r="C91" s="44">
        <v>1226.43994140625</v>
      </c>
      <c r="D91" s="45">
        <v>6.7180038066771086E-2</v>
      </c>
      <c r="E91" s="46">
        <v>1.3385734484560929E-2</v>
      </c>
    </row>
    <row r="92" spans="1:5" x14ac:dyDescent="0.35">
      <c r="A92" s="43">
        <v>45047</v>
      </c>
      <c r="B92" s="44">
        <v>65.565544128417969</v>
      </c>
      <c r="C92" s="44">
        <v>1204.5400390625</v>
      </c>
      <c r="D92" s="45">
        <v>-1.7705024390472501E-2</v>
      </c>
      <c r="E92" s="46">
        <v>-1.7856481678702796E-2</v>
      </c>
    </row>
    <row r="93" spans="1:5" x14ac:dyDescent="0.35">
      <c r="A93" s="43">
        <v>45054</v>
      </c>
      <c r="B93" s="44">
        <v>66.528457641601563</v>
      </c>
      <c r="C93" s="44">
        <v>1213.1099853515625</v>
      </c>
      <c r="D93" s="45">
        <v>1.4686273499044056E-2</v>
      </c>
      <c r="E93" s="46">
        <v>7.1147043777246566E-3</v>
      </c>
    </row>
    <row r="94" spans="1:5" x14ac:dyDescent="0.35">
      <c r="A94" s="43">
        <v>45061</v>
      </c>
      <c r="B94" s="44">
        <v>65.784393310546875</v>
      </c>
      <c r="C94" s="44">
        <v>1225.4000244140625</v>
      </c>
      <c r="D94" s="45">
        <v>-1.118415122537586E-2</v>
      </c>
      <c r="E94" s="46">
        <v>1.0131017971085621E-2</v>
      </c>
    </row>
    <row r="95" spans="1:5" x14ac:dyDescent="0.35">
      <c r="A95" s="43">
        <v>45068</v>
      </c>
      <c r="B95" s="44">
        <v>62.370426177978516</v>
      </c>
      <c r="C95" s="44">
        <v>1215.5699462890625</v>
      </c>
      <c r="D95" s="45">
        <v>-5.1896307935107355E-2</v>
      </c>
      <c r="E95" s="46">
        <v>-8.021934004530773E-3</v>
      </c>
    </row>
    <row r="96" spans="1:5" x14ac:dyDescent="0.35">
      <c r="A96" s="43">
        <v>45075</v>
      </c>
      <c r="B96" s="44">
        <v>62.939422607421875</v>
      </c>
      <c r="C96" s="44">
        <v>1226.27001953125</v>
      </c>
      <c r="D96" s="45">
        <v>9.1228562046328232E-3</v>
      </c>
      <c r="E96" s="46">
        <v>8.8025154577513476E-3</v>
      </c>
    </row>
    <row r="97" spans="1:5" x14ac:dyDescent="0.35">
      <c r="A97" s="43">
        <v>45082</v>
      </c>
      <c r="B97" s="44">
        <v>62.195354461669922</v>
      </c>
      <c r="C97" s="44">
        <v>1231.56005859375</v>
      </c>
      <c r="D97" s="45">
        <v>-1.1821972857822383E-2</v>
      </c>
      <c r="E97" s="46">
        <v>4.3139267683656168E-3</v>
      </c>
    </row>
    <row r="98" spans="1:5" x14ac:dyDescent="0.35">
      <c r="A98" s="43">
        <v>45089</v>
      </c>
      <c r="B98" s="44">
        <v>63.070728302001953</v>
      </c>
      <c r="C98" s="44">
        <v>1246.02001953125</v>
      </c>
      <c r="D98" s="45">
        <v>1.4074585600625689E-2</v>
      </c>
      <c r="E98" s="46">
        <v>1.1741173998457644E-2</v>
      </c>
    </row>
    <row r="99" spans="1:5" x14ac:dyDescent="0.35">
      <c r="A99" s="43">
        <v>45096</v>
      </c>
      <c r="B99" s="44">
        <v>62.501731872558594</v>
      </c>
      <c r="C99" s="44">
        <v>1193.989990234375</v>
      </c>
      <c r="D99" s="45">
        <v>-9.0215611070610935E-3</v>
      </c>
      <c r="E99" s="46">
        <v>-4.1756976999814621E-2</v>
      </c>
    </row>
    <row r="100" spans="1:5" x14ac:dyDescent="0.35">
      <c r="A100" s="43">
        <v>45103</v>
      </c>
      <c r="B100" s="44">
        <v>62.676811218261719</v>
      </c>
      <c r="C100" s="44">
        <v>1214.1199951171875</v>
      </c>
      <c r="D100" s="45">
        <v>2.8011919103316796E-3</v>
      </c>
      <c r="E100" s="46">
        <v>1.6859441911117656E-2</v>
      </c>
    </row>
    <row r="101" spans="1:5" x14ac:dyDescent="0.35">
      <c r="A101" s="43">
        <v>45110</v>
      </c>
      <c r="B101" s="44">
        <v>58.737617492675781</v>
      </c>
      <c r="C101" s="44">
        <v>1198.9599609375</v>
      </c>
      <c r="D101" s="45">
        <v>-6.2849300227931892E-2</v>
      </c>
      <c r="E101" s="46">
        <v>-1.2486438112094711E-2</v>
      </c>
    </row>
    <row r="102" spans="1:5" x14ac:dyDescent="0.35">
      <c r="A102" s="43">
        <v>45117</v>
      </c>
      <c r="B102" s="44">
        <v>54.273216247558594</v>
      </c>
      <c r="C102" s="44">
        <v>1201.0400390625</v>
      </c>
      <c r="D102" s="45">
        <v>-7.6005827878086296E-2</v>
      </c>
      <c r="E102" s="46">
        <v>1.7349020757737588E-3</v>
      </c>
    </row>
    <row r="103" spans="1:5" x14ac:dyDescent="0.35">
      <c r="A103" s="43">
        <v>45124</v>
      </c>
      <c r="B103" s="44">
        <v>54.229442596435547</v>
      </c>
      <c r="C103" s="44">
        <v>1230.7900390625</v>
      </c>
      <c r="D103" s="45">
        <v>-8.0654241907063273E-4</v>
      </c>
      <c r="E103" s="46">
        <v>2.4770198355104078E-2</v>
      </c>
    </row>
    <row r="104" spans="1:5" x14ac:dyDescent="0.35">
      <c r="A104" s="43">
        <v>45131</v>
      </c>
      <c r="B104" s="44">
        <v>52.916385650634766</v>
      </c>
      <c r="C104" s="44">
        <v>1234.5699462890625</v>
      </c>
      <c r="D104" s="45">
        <v>-2.4212989898721338E-2</v>
      </c>
      <c r="E104" s="46">
        <v>3.071122698914408E-3</v>
      </c>
    </row>
    <row r="105" spans="1:5" x14ac:dyDescent="0.35">
      <c r="A105" s="43">
        <v>45138</v>
      </c>
      <c r="B105" s="44">
        <v>53.047687530517578</v>
      </c>
      <c r="C105" s="44">
        <v>1242.699951171875</v>
      </c>
      <c r="D105" s="45">
        <v>2.4813085449504335E-3</v>
      </c>
      <c r="E105" s="46">
        <v>6.585293046578844E-3</v>
      </c>
    </row>
    <row r="106" spans="1:5" x14ac:dyDescent="0.35">
      <c r="A106" s="43">
        <v>45145</v>
      </c>
      <c r="B106" s="44">
        <v>53.835525512695313</v>
      </c>
      <c r="C106" s="44">
        <v>1260.9200439453125</v>
      </c>
      <c r="D106" s="45">
        <v>1.4851504728165654E-2</v>
      </c>
      <c r="E106" s="46">
        <v>1.4661699114300042E-2</v>
      </c>
    </row>
    <row r="107" spans="1:5" x14ac:dyDescent="0.35">
      <c r="A107" s="43">
        <v>45152</v>
      </c>
      <c r="B107" s="44">
        <v>54.229442596435547</v>
      </c>
      <c r="C107" s="44">
        <v>1237.47998046875</v>
      </c>
      <c r="D107" s="45">
        <v>7.3170472469399339E-3</v>
      </c>
      <c r="E107" s="46">
        <v>-1.858965093712095E-2</v>
      </c>
    </row>
    <row r="108" spans="1:5" x14ac:dyDescent="0.35">
      <c r="A108" s="43">
        <v>45159</v>
      </c>
      <c r="B108" s="44">
        <v>53.397838592529297</v>
      </c>
      <c r="C108" s="44">
        <v>1231.93994140625</v>
      </c>
      <c r="D108" s="45">
        <v>-1.5334917050408903E-2</v>
      </c>
      <c r="E108" s="46">
        <v>-4.476871666563409E-3</v>
      </c>
    </row>
    <row r="109" spans="1:5" x14ac:dyDescent="0.35">
      <c r="A109" s="43">
        <v>45166</v>
      </c>
      <c r="B109" s="44">
        <v>52.828845977783203</v>
      </c>
      <c r="C109" s="44">
        <v>1265.81005859375</v>
      </c>
      <c r="D109" s="45">
        <v>-1.0655723709867559E-2</v>
      </c>
      <c r="E109" s="46">
        <v>2.7493318504502318E-2</v>
      </c>
    </row>
    <row r="110" spans="1:5" x14ac:dyDescent="0.35">
      <c r="A110" s="43">
        <v>45173</v>
      </c>
      <c r="B110" s="44">
        <v>53.441608428955078</v>
      </c>
      <c r="C110" s="44">
        <v>1266.3399658203125</v>
      </c>
      <c r="D110" s="45">
        <v>1.1599012619536886E-2</v>
      </c>
      <c r="E110" s="46">
        <v>4.186309177787173E-4</v>
      </c>
    </row>
    <row r="111" spans="1:5" x14ac:dyDescent="0.35">
      <c r="A111" s="43">
        <v>45180</v>
      </c>
      <c r="B111" s="44">
        <v>52.872615814208984</v>
      </c>
      <c r="C111" s="44">
        <v>1300.97998046875</v>
      </c>
      <c r="D111" s="45">
        <v>-1.0646996441031731E-2</v>
      </c>
      <c r="E111" s="46">
        <v>2.7354435288629908E-2</v>
      </c>
    </row>
    <row r="112" spans="1:5" x14ac:dyDescent="0.35">
      <c r="A112" s="43">
        <v>45187</v>
      </c>
      <c r="B112" s="44">
        <v>51.778396606445313</v>
      </c>
      <c r="C112" s="44">
        <v>1299.6600341796875</v>
      </c>
      <c r="D112" s="45">
        <v>-2.069538627724965E-2</v>
      </c>
      <c r="E112" s="46">
        <v>-1.0145784784382217E-3</v>
      </c>
    </row>
    <row r="113" spans="1:5" x14ac:dyDescent="0.35">
      <c r="A113" s="43">
        <v>45194</v>
      </c>
      <c r="B113" s="44">
        <v>52.303619384765625</v>
      </c>
      <c r="C113" s="44">
        <v>1290.989990234375</v>
      </c>
      <c r="D113" s="45">
        <v>1.014366633081365E-2</v>
      </c>
      <c r="E113" s="46">
        <v>-6.6710091233856961E-3</v>
      </c>
    </row>
    <row r="114" spans="1:5" x14ac:dyDescent="0.35">
      <c r="A114" s="43">
        <v>45201</v>
      </c>
      <c r="B114" s="44">
        <v>51.647087097167969</v>
      </c>
      <c r="C114" s="44">
        <v>1251.27001953125</v>
      </c>
      <c r="D114" s="45">
        <v>-1.2552329940456963E-2</v>
      </c>
      <c r="E114" s="46">
        <v>-3.0767063264304562E-2</v>
      </c>
    </row>
    <row r="115" spans="1:5" x14ac:dyDescent="0.35">
      <c r="A115" s="43">
        <v>45208</v>
      </c>
      <c r="B115" s="44">
        <v>54.360748291015625</v>
      </c>
      <c r="C115" s="44">
        <v>1310.8399658203125</v>
      </c>
      <c r="D115" s="45">
        <v>5.2542386151269715E-2</v>
      </c>
      <c r="E115" s="46">
        <v>4.7607586979010685E-2</v>
      </c>
    </row>
    <row r="116" spans="1:5" x14ac:dyDescent="0.35">
      <c r="A116" s="43">
        <v>45215</v>
      </c>
      <c r="B116" s="44">
        <v>54.623363494873047</v>
      </c>
      <c r="C116" s="44">
        <v>1272.1400146484375</v>
      </c>
      <c r="D116" s="45">
        <v>4.8309710979608234E-3</v>
      </c>
      <c r="E116" s="46">
        <v>-2.9523017439933574E-2</v>
      </c>
    </row>
    <row r="117" spans="1:5" x14ac:dyDescent="0.35">
      <c r="A117" s="43">
        <v>45222</v>
      </c>
      <c r="B117" s="44">
        <v>54.973514556884766</v>
      </c>
      <c r="C117" s="44">
        <v>1263.81005859375</v>
      </c>
      <c r="D117" s="45">
        <v>6.410280136714519E-3</v>
      </c>
      <c r="E117" s="46">
        <v>-6.5479868243822903E-3</v>
      </c>
    </row>
    <row r="118" spans="1:5" x14ac:dyDescent="0.35">
      <c r="A118" s="43">
        <v>45229</v>
      </c>
      <c r="B118" s="44">
        <v>55.805118560791016</v>
      </c>
      <c r="C118" s="44">
        <v>1284.9100341796875</v>
      </c>
      <c r="D118" s="45">
        <v>1.5127357430380961E-2</v>
      </c>
      <c r="E118" s="46">
        <v>1.6695527498345353E-2</v>
      </c>
    </row>
    <row r="119" spans="1:5" x14ac:dyDescent="0.35">
      <c r="A119" s="43">
        <v>45236</v>
      </c>
      <c r="B119" s="44">
        <v>59.000236511230469</v>
      </c>
      <c r="C119" s="44">
        <v>1283.0699462890625</v>
      </c>
      <c r="D119" s="45">
        <v>5.7254926301408604E-2</v>
      </c>
      <c r="E119" s="46">
        <v>-1.4320752750598409E-3</v>
      </c>
    </row>
    <row r="120" spans="1:5" x14ac:dyDescent="0.35">
      <c r="A120" s="43">
        <v>45243</v>
      </c>
      <c r="B120" s="44">
        <v>60.575904846191406</v>
      </c>
      <c r="C120" s="44">
        <v>1296.280029296875</v>
      </c>
      <c r="D120" s="45">
        <v>2.6706135909489337E-2</v>
      </c>
      <c r="E120" s="46">
        <v>1.0295684226740098E-2</v>
      </c>
    </row>
    <row r="121" spans="1:5" x14ac:dyDescent="0.35">
      <c r="A121" s="43">
        <v>45250</v>
      </c>
      <c r="B121" s="44">
        <v>61.057365417480469</v>
      </c>
      <c r="C121" s="44">
        <v>1315.219970703125</v>
      </c>
      <c r="D121" s="45">
        <v>7.9480541398686544E-3</v>
      </c>
      <c r="E121" s="46">
        <v>1.4610995292833051E-2</v>
      </c>
    </row>
    <row r="122" spans="1:5" x14ac:dyDescent="0.35">
      <c r="A122" s="43">
        <v>45257</v>
      </c>
      <c r="B122" s="44">
        <v>63.158260345458984</v>
      </c>
      <c r="C122" s="44">
        <v>1304.3699951171875</v>
      </c>
      <c r="D122" s="45">
        <v>3.4408542091746375E-2</v>
      </c>
      <c r="E122" s="46">
        <v>-8.2495520351146823E-3</v>
      </c>
    </row>
    <row r="123" spans="1:5" x14ac:dyDescent="0.35">
      <c r="A123" s="43">
        <v>45264</v>
      </c>
      <c r="B123" s="44">
        <v>62.457965850830078</v>
      </c>
      <c r="C123" s="44">
        <v>1294.3299560546875</v>
      </c>
      <c r="D123" s="45">
        <v>-1.1087931979102628E-2</v>
      </c>
      <c r="E123" s="46">
        <v>-7.6972324571127348E-3</v>
      </c>
    </row>
    <row r="124" spans="1:5" x14ac:dyDescent="0.35">
      <c r="A124" s="43">
        <v>45271</v>
      </c>
      <c r="B124" s="44">
        <v>60.926055908203125</v>
      </c>
      <c r="C124" s="44">
        <v>1296.4200439453125</v>
      </c>
      <c r="D124" s="45">
        <v>-2.4527054664022385E-2</v>
      </c>
      <c r="E124" s="46">
        <v>1.6148029958265031E-3</v>
      </c>
    </row>
    <row r="125" spans="1:5" x14ac:dyDescent="0.35">
      <c r="A125" s="43">
        <v>45278</v>
      </c>
      <c r="B125" s="44">
        <v>66.397148132324219</v>
      </c>
      <c r="C125" s="44">
        <v>1295.4200439453125</v>
      </c>
      <c r="D125" s="45">
        <v>8.9798890516798791E-2</v>
      </c>
      <c r="E125" s="46">
        <v>-7.7135493597946247E-4</v>
      </c>
    </row>
    <row r="126" spans="1:5" x14ac:dyDescent="0.35">
      <c r="A126" s="43">
        <v>45285</v>
      </c>
      <c r="B126" s="44">
        <v>67.184989929199219</v>
      </c>
      <c r="C126" s="44">
        <v>1306.6099853515625</v>
      </c>
      <c r="D126" s="45">
        <v>1.1865596927520095E-2</v>
      </c>
      <c r="E126" s="46">
        <v>8.6380795623404172E-3</v>
      </c>
    </row>
    <row r="127" spans="1:5" x14ac:dyDescent="0.35">
      <c r="A127" s="43">
        <v>45292</v>
      </c>
      <c r="B127" s="44">
        <v>67.27252197265625</v>
      </c>
      <c r="C127" s="44">
        <v>1317.77001953125</v>
      </c>
      <c r="D127" s="45">
        <v>1.3028511807364751E-3</v>
      </c>
      <c r="E127" s="46">
        <v>8.5412129899533618E-3</v>
      </c>
    </row>
    <row r="128" spans="1:5" x14ac:dyDescent="0.35">
      <c r="A128" s="43">
        <v>45299</v>
      </c>
      <c r="B128" s="44">
        <v>70.029953002929688</v>
      </c>
      <c r="C128" s="44">
        <v>1298.75</v>
      </c>
      <c r="D128" s="45">
        <v>4.0988964727593169E-2</v>
      </c>
      <c r="E128" s="46">
        <v>-1.4433489341346251E-2</v>
      </c>
    </row>
    <row r="129" spans="1:5" x14ac:dyDescent="0.35">
      <c r="A129" s="43">
        <v>45306</v>
      </c>
      <c r="B129" s="44">
        <v>70.029953002929688</v>
      </c>
      <c r="C129" s="44">
        <v>1278.010009765625</v>
      </c>
      <c r="D129" s="45">
        <v>0</v>
      </c>
      <c r="E129" s="46">
        <v>-1.5969193635707368E-2</v>
      </c>
    </row>
    <row r="130" spans="1:5" x14ac:dyDescent="0.35">
      <c r="A130" s="43">
        <v>45313</v>
      </c>
      <c r="B130" s="44">
        <v>70.205024719238281</v>
      </c>
      <c r="C130" s="44">
        <v>1293.52001953125</v>
      </c>
      <c r="D130" s="45">
        <v>2.4999547879358541E-3</v>
      </c>
      <c r="E130" s="46">
        <v>1.2136062821972216E-2</v>
      </c>
    </row>
    <row r="131" spans="1:5" x14ac:dyDescent="0.35">
      <c r="A131" s="43">
        <v>45320</v>
      </c>
      <c r="B131" s="44">
        <v>66.090766906738281</v>
      </c>
      <c r="C131" s="44">
        <v>1271.68994140625</v>
      </c>
      <c r="D131" s="45">
        <v>-5.8603466474851484E-2</v>
      </c>
      <c r="E131" s="46">
        <v>-1.6876490348337159E-2</v>
      </c>
    </row>
    <row r="132" spans="1:5" x14ac:dyDescent="0.35">
      <c r="A132" s="43">
        <v>45327</v>
      </c>
      <c r="B132" s="44">
        <v>63.420871734619141</v>
      </c>
      <c r="C132" s="44">
        <v>1240.489990234375</v>
      </c>
      <c r="D132" s="45">
        <v>-4.0397400379491355E-2</v>
      </c>
      <c r="E132" s="46">
        <v>-2.4534243887604945E-2</v>
      </c>
    </row>
    <row r="133" spans="1:5" x14ac:dyDescent="0.35">
      <c r="A133" s="43">
        <v>45334</v>
      </c>
      <c r="B133" s="44">
        <v>63.114494323730469</v>
      </c>
      <c r="C133" s="44">
        <v>1264.02001953125</v>
      </c>
      <c r="D133" s="45">
        <v>-4.8308609217907472E-3</v>
      </c>
      <c r="E133" s="46">
        <v>1.8968334675904419E-2</v>
      </c>
    </row>
    <row r="134" spans="1:5" x14ac:dyDescent="0.35">
      <c r="A134" s="43">
        <v>45341</v>
      </c>
      <c r="B134" s="44">
        <v>63.114494323730469</v>
      </c>
      <c r="C134" s="44">
        <v>1260.800048828125</v>
      </c>
      <c r="D134" s="45">
        <v>0</v>
      </c>
      <c r="E134" s="46">
        <v>-2.5474048301221686E-3</v>
      </c>
    </row>
    <row r="135" spans="1:5" x14ac:dyDescent="0.35">
      <c r="A135" s="43">
        <v>45348</v>
      </c>
      <c r="B135" s="44">
        <v>64.690170288085938</v>
      </c>
      <c r="C135" s="44">
        <v>1275.1400146484375</v>
      </c>
      <c r="D135" s="45">
        <v>2.4965358294299689E-2</v>
      </c>
      <c r="E135" s="46">
        <v>1.1373703414463643E-2</v>
      </c>
    </row>
    <row r="136" spans="1:5" x14ac:dyDescent="0.35">
      <c r="A136" s="43">
        <v>45355</v>
      </c>
      <c r="B136" s="44">
        <v>63.508419036865234</v>
      </c>
      <c r="C136" s="44">
        <v>1279.22998046875</v>
      </c>
      <c r="D136" s="45">
        <v>-1.8267864282285662E-2</v>
      </c>
      <c r="E136" s="46">
        <v>3.2074641006698545E-3</v>
      </c>
    </row>
    <row r="137" spans="1:5" x14ac:dyDescent="0.35">
      <c r="A137" s="43">
        <v>45362</v>
      </c>
      <c r="B137" s="44">
        <v>65.390464782714844</v>
      </c>
      <c r="C137" s="44">
        <v>1293.0899658203125</v>
      </c>
      <c r="D137" s="45">
        <v>2.9634586632633964E-2</v>
      </c>
      <c r="E137" s="46">
        <v>1.0834631429200714E-2</v>
      </c>
    </row>
    <row r="138" spans="1:5" x14ac:dyDescent="0.35">
      <c r="A138" s="43">
        <v>45369</v>
      </c>
      <c r="B138" s="44">
        <v>65.609306335449219</v>
      </c>
      <c r="C138" s="44">
        <v>1319.3299560546875</v>
      </c>
      <c r="D138" s="45">
        <v>3.3466890541542504E-3</v>
      </c>
      <c r="E138" s="46">
        <v>2.0292470692655051E-2</v>
      </c>
    </row>
    <row r="139" spans="1:5" x14ac:dyDescent="0.35">
      <c r="A139" s="43">
        <v>45376</v>
      </c>
      <c r="B139" s="44">
        <v>68.279197692871094</v>
      </c>
      <c r="C139" s="44">
        <v>1328.1500244140625</v>
      </c>
      <c r="D139" s="45">
        <v>4.0693790356068904E-2</v>
      </c>
      <c r="E139" s="46">
        <v>6.6852634694587465E-3</v>
      </c>
    </row>
    <row r="140" spans="1:5" x14ac:dyDescent="0.35">
      <c r="A140" s="43">
        <v>45383</v>
      </c>
      <c r="B140" s="44">
        <v>67.316291809082031</v>
      </c>
      <c r="C140" s="44">
        <v>1351.5</v>
      </c>
      <c r="D140" s="45">
        <v>-1.4102478006849828E-2</v>
      </c>
      <c r="E140" s="46">
        <v>1.7580826831847363E-2</v>
      </c>
    </row>
    <row r="141" spans="1:5" x14ac:dyDescent="0.35">
      <c r="A141" s="43">
        <v>45390</v>
      </c>
      <c r="B141" s="44">
        <v>71.605621337890625</v>
      </c>
      <c r="C141" s="44">
        <v>1376.1700439453125</v>
      </c>
      <c r="D141" s="45">
        <v>6.3719040570055618E-2</v>
      </c>
      <c r="E141" s="46">
        <v>1.8253824598825297E-2</v>
      </c>
    </row>
    <row r="142" spans="1:5" x14ac:dyDescent="0.35">
      <c r="A142" s="43">
        <v>45397</v>
      </c>
      <c r="B142" s="44">
        <v>68.979507446289063</v>
      </c>
      <c r="C142" s="44">
        <v>1341.219970703125</v>
      </c>
      <c r="D142" s="45">
        <v>-3.6674688977413217E-2</v>
      </c>
      <c r="E142" s="46">
        <v>-2.5396624055258332E-2</v>
      </c>
    </row>
    <row r="143" spans="1:5" x14ac:dyDescent="0.35">
      <c r="A143" s="43">
        <v>45404</v>
      </c>
      <c r="B143" s="44">
        <v>60.138217926025391</v>
      </c>
      <c r="C143" s="44">
        <v>1365.9300537109375</v>
      </c>
      <c r="D143" s="45">
        <v>-0.12817269719050906</v>
      </c>
      <c r="E143" s="46">
        <v>1.8423587142725406E-2</v>
      </c>
    </row>
    <row r="144" spans="1:5" x14ac:dyDescent="0.35">
      <c r="A144" s="43">
        <v>45411</v>
      </c>
      <c r="B144" s="44">
        <v>62.644512176513672</v>
      </c>
      <c r="C144" s="44">
        <v>1371.300048828125</v>
      </c>
      <c r="D144" s="45">
        <v>4.1675565670589387E-2</v>
      </c>
      <c r="E144" s="46">
        <v>3.931383677076461E-3</v>
      </c>
    </row>
    <row r="145" spans="1:5" x14ac:dyDescent="0.35">
      <c r="A145" s="43">
        <v>45418</v>
      </c>
      <c r="B145" s="44">
        <v>64.15899658203125</v>
      </c>
      <c r="C145" s="44">
        <v>1418.72998046875</v>
      </c>
      <c r="D145" s="45">
        <v>2.4175851210241905E-2</v>
      </c>
      <c r="E145" s="46">
        <v>3.4587566507532364E-2</v>
      </c>
    </row>
    <row r="146" spans="1:5" x14ac:dyDescent="0.35">
      <c r="A146" s="43">
        <v>45425</v>
      </c>
      <c r="B146" s="44">
        <v>63.929527282714844</v>
      </c>
      <c r="C146" s="44">
        <v>1416.4200439453125</v>
      </c>
      <c r="D146" s="45">
        <v>-3.5765724456587877E-3</v>
      </c>
      <c r="E146" s="46">
        <v>-1.6281720660292764E-3</v>
      </c>
    </row>
    <row r="147" spans="1:5" x14ac:dyDescent="0.35">
      <c r="A147" s="43">
        <v>45432</v>
      </c>
      <c r="B147" s="44">
        <v>64.067207336425781</v>
      </c>
      <c r="C147" s="44">
        <v>1423.4599609375</v>
      </c>
      <c r="D147" s="45">
        <v>2.1536222706930452E-3</v>
      </c>
      <c r="E147" s="46">
        <v>4.9702184195152821E-3</v>
      </c>
    </row>
    <row r="148" spans="1:5" x14ac:dyDescent="0.35">
      <c r="A148" s="43">
        <v>45439</v>
      </c>
      <c r="B148" s="44">
        <v>64.11309814453125</v>
      </c>
      <c r="C148" s="44">
        <v>1440.530029296875</v>
      </c>
      <c r="D148" s="45">
        <v>7.1629168826548018E-4</v>
      </c>
      <c r="E148" s="46">
        <v>1.1991955395874054E-2</v>
      </c>
    </row>
    <row r="149" spans="1:5" x14ac:dyDescent="0.35">
      <c r="A149" s="43">
        <v>45446</v>
      </c>
      <c r="B149" s="44">
        <v>64.801498413085938</v>
      </c>
      <c r="C149" s="44">
        <v>1423.280029296875</v>
      </c>
      <c r="D149" s="45">
        <v>1.0737279720952175E-2</v>
      </c>
      <c r="E149" s="46">
        <v>-1.1974759046446071E-2</v>
      </c>
    </row>
    <row r="150" spans="1:5" x14ac:dyDescent="0.35">
      <c r="A150" s="43">
        <v>45453</v>
      </c>
      <c r="B150" s="44">
        <v>68.243507385253906</v>
      </c>
      <c r="C150" s="44">
        <v>1391.56005859375</v>
      </c>
      <c r="D150" s="45">
        <v>5.3116194169252395E-2</v>
      </c>
      <c r="E150" s="46">
        <v>-2.2286528336096456E-2</v>
      </c>
    </row>
    <row r="151" spans="1:5" x14ac:dyDescent="0.35">
      <c r="A151" s="43">
        <v>45460</v>
      </c>
      <c r="B151" s="44">
        <v>67.41741943359375</v>
      </c>
      <c r="C151" s="44">
        <v>1406.97998046875</v>
      </c>
      <c r="D151" s="45">
        <v>-1.210500431926298E-2</v>
      </c>
      <c r="E151" s="46">
        <v>1.1081032241312405E-2</v>
      </c>
    </row>
    <row r="152" spans="1:5" x14ac:dyDescent="0.35">
      <c r="A152" s="43">
        <v>45467</v>
      </c>
      <c r="B152" s="44">
        <v>66.453666687011719</v>
      </c>
      <c r="C152" s="44">
        <v>1422.3499755859375</v>
      </c>
      <c r="D152" s="45">
        <v>-1.4295307573012783E-2</v>
      </c>
      <c r="E152" s="46">
        <v>1.0924103633703997E-2</v>
      </c>
    </row>
    <row r="153" spans="1:5" x14ac:dyDescent="0.35">
      <c r="A153" s="43">
        <v>45474</v>
      </c>
      <c r="B153" s="44">
        <v>67.41741943359375</v>
      </c>
      <c r="C153" s="44">
        <v>1418.8199462890625</v>
      </c>
      <c r="D153" s="45">
        <v>1.4502627087850328E-2</v>
      </c>
      <c r="E153" s="46">
        <v>-2.481828915152029E-3</v>
      </c>
    </row>
    <row r="154" spans="1:5" x14ac:dyDescent="0.35">
      <c r="A154" s="43">
        <v>45481</v>
      </c>
      <c r="B154" s="44">
        <v>61.543075561523438</v>
      </c>
      <c r="C154" s="44">
        <v>1434.4300537109375</v>
      </c>
      <c r="D154" s="45">
        <v>-8.7133917634693026E-2</v>
      </c>
      <c r="E154" s="46">
        <v>1.1002176465522151E-2</v>
      </c>
    </row>
    <row r="155" spans="1:5" x14ac:dyDescent="0.35">
      <c r="A155" s="43">
        <v>45488</v>
      </c>
      <c r="B155" s="44">
        <v>61.818431854248047</v>
      </c>
      <c r="C155" s="44">
        <v>1443.02001953125</v>
      </c>
      <c r="D155" s="45">
        <v>4.4742042904459822E-3</v>
      </c>
      <c r="E155" s="46">
        <v>5.9884173495179382E-3</v>
      </c>
    </row>
    <row r="156" spans="1:5" x14ac:dyDescent="0.35">
      <c r="A156" s="43">
        <v>45495</v>
      </c>
      <c r="B156" s="44">
        <v>59.340190887451172</v>
      </c>
      <c r="C156" s="44">
        <v>1434.1199951171875</v>
      </c>
      <c r="D156" s="45">
        <v>-4.0089029961806966E-2</v>
      </c>
      <c r="E156" s="46">
        <v>-6.1676375196468847E-3</v>
      </c>
    </row>
    <row r="157" spans="1:5" x14ac:dyDescent="0.35">
      <c r="A157" s="43">
        <v>45502</v>
      </c>
      <c r="B157" s="44">
        <v>58.881252288818359</v>
      </c>
      <c r="C157" s="44">
        <v>1408.8800048828125</v>
      </c>
      <c r="D157" s="45">
        <v>-7.7340263280121224E-3</v>
      </c>
      <c r="E157" s="46">
        <v>-1.7599636237072724E-2</v>
      </c>
    </row>
    <row r="158" spans="1:5" x14ac:dyDescent="0.35">
      <c r="A158" s="43">
        <v>45509</v>
      </c>
      <c r="B158" s="44">
        <v>61.084140777587891</v>
      </c>
      <c r="C158" s="44">
        <v>1412.9100341796875</v>
      </c>
      <c r="D158" s="45">
        <v>3.7412391943774326E-2</v>
      </c>
      <c r="E158" s="46">
        <v>2.8604489260319887E-3</v>
      </c>
    </row>
    <row r="159" spans="1:5" x14ac:dyDescent="0.35">
      <c r="A159" s="43">
        <v>45516</v>
      </c>
      <c r="B159" s="44">
        <v>61.175922393798828</v>
      </c>
      <c r="C159" s="44">
        <v>1442.8199462890625</v>
      </c>
      <c r="D159" s="45">
        <v>1.5025441144391749E-3</v>
      </c>
      <c r="E159" s="46">
        <v>2.1169013869124509E-2</v>
      </c>
    </row>
    <row r="160" spans="1:5" x14ac:dyDescent="0.35">
      <c r="A160" s="43">
        <v>45523</v>
      </c>
      <c r="B160" s="44">
        <v>61.175922393798828</v>
      </c>
      <c r="C160" s="44">
        <v>1434.47998046875</v>
      </c>
      <c r="D160" s="45">
        <v>0</v>
      </c>
      <c r="E160" s="46">
        <v>-5.7803233464874815E-3</v>
      </c>
    </row>
    <row r="161" spans="1:5" x14ac:dyDescent="0.35">
      <c r="A161" s="43">
        <v>45530</v>
      </c>
      <c r="B161" s="44">
        <v>61.313606262207031</v>
      </c>
      <c r="C161" s="44">
        <v>1439.43994140625</v>
      </c>
      <c r="D161" s="45">
        <v>2.2506218626654473E-3</v>
      </c>
      <c r="E161" s="46">
        <v>3.4576717730694373E-3</v>
      </c>
    </row>
    <row r="162" spans="1:5" x14ac:dyDescent="0.35">
      <c r="A162" s="43">
        <v>45537</v>
      </c>
      <c r="B162" s="44">
        <v>59.202507019042969</v>
      </c>
      <c r="C162" s="44">
        <v>1385.93994140625</v>
      </c>
      <c r="D162" s="45">
        <v>-3.4431170695391256E-2</v>
      </c>
      <c r="E162" s="46">
        <v>-3.7167233214144058E-2</v>
      </c>
    </row>
    <row r="163" spans="1:5" x14ac:dyDescent="0.35">
      <c r="A163" s="43">
        <v>45544</v>
      </c>
      <c r="B163" s="44">
        <v>60.487522125244141</v>
      </c>
      <c r="C163" s="44">
        <v>1407.4100341796875</v>
      </c>
      <c r="D163" s="45">
        <v>2.1705417066000932E-2</v>
      </c>
      <c r="E163" s="46">
        <v>1.5491358703215274E-2</v>
      </c>
    </row>
    <row r="164" spans="1:5" x14ac:dyDescent="0.35">
      <c r="A164" s="43">
        <v>45551</v>
      </c>
      <c r="B164" s="44">
        <v>60.579311370849609</v>
      </c>
      <c r="C164" s="44">
        <v>1407.4300537109375</v>
      </c>
      <c r="D164" s="45">
        <v>1.5174905894708157E-3</v>
      </c>
      <c r="E164" s="46">
        <v>1.4224377234750563E-5</v>
      </c>
    </row>
    <row r="165" spans="1:5" x14ac:dyDescent="0.35">
      <c r="A165" s="43">
        <v>45558</v>
      </c>
      <c r="B165" s="44">
        <v>61.038242340087891</v>
      </c>
      <c r="C165" s="44">
        <v>1406.9300537109375</v>
      </c>
      <c r="D165" s="45">
        <v>7.5757046234619096E-3</v>
      </c>
      <c r="E165" s="46">
        <v>-3.55257441520207E-4</v>
      </c>
    </row>
    <row r="166" spans="1:5" x14ac:dyDescent="0.35">
      <c r="A166" s="43">
        <v>45565</v>
      </c>
      <c r="B166" s="44">
        <v>61.864326477050781</v>
      </c>
      <c r="C166" s="44">
        <v>1449.449951171875</v>
      </c>
      <c r="D166" s="45">
        <v>1.3533878193283888E-2</v>
      </c>
      <c r="E166" s="46">
        <v>3.0221756475232286E-2</v>
      </c>
    </row>
    <row r="167" spans="1:5" x14ac:dyDescent="0.35">
      <c r="A167" s="43">
        <v>45572</v>
      </c>
      <c r="B167" s="44">
        <v>60.349842071533203</v>
      </c>
      <c r="C167" s="44">
        <v>1449.3399658203125</v>
      </c>
      <c r="D167" s="45">
        <v>-2.4480738605945906E-2</v>
      </c>
      <c r="E167" s="46">
        <v>-7.5880751504109334E-5</v>
      </c>
    </row>
    <row r="168" spans="1:5" x14ac:dyDescent="0.35">
      <c r="A168" s="43">
        <v>45579</v>
      </c>
      <c r="B168" s="44">
        <v>62.919876098632813</v>
      </c>
      <c r="C168" s="44">
        <v>1433.6199951171875</v>
      </c>
      <c r="D168" s="45">
        <v>4.2585596563008865E-2</v>
      </c>
      <c r="E168" s="46">
        <v>-1.0846296296140312E-2</v>
      </c>
    </row>
    <row r="169" spans="1:5" x14ac:dyDescent="0.35">
      <c r="A169" s="43">
        <v>45586</v>
      </c>
      <c r="B169" s="44">
        <v>64.342567443847656</v>
      </c>
      <c r="C169" s="44">
        <v>1461.2099609375</v>
      </c>
      <c r="D169" s="45">
        <v>2.2611159357412536E-2</v>
      </c>
      <c r="E169" s="46">
        <v>1.9244964435681799E-2</v>
      </c>
    </row>
    <row r="170" spans="1:5" x14ac:dyDescent="0.35">
      <c r="A170" s="43">
        <v>45593</v>
      </c>
      <c r="B170" s="44">
        <v>61.634857177734375</v>
      </c>
      <c r="C170" s="44">
        <v>1433.199951171875</v>
      </c>
      <c r="D170" s="45">
        <v>-4.2082720253218464E-2</v>
      </c>
      <c r="E170" s="46">
        <v>-1.916905202839847E-2</v>
      </c>
    </row>
    <row r="171" spans="1:5" x14ac:dyDescent="0.35">
      <c r="A171" s="43">
        <v>45600</v>
      </c>
      <c r="B171" s="44">
        <v>61.313606262207031</v>
      </c>
      <c r="C171" s="44">
        <v>1416.4200439453125</v>
      </c>
      <c r="D171" s="45">
        <v>-5.2121628934900244E-3</v>
      </c>
      <c r="E171" s="46">
        <v>-1.1708001533800028E-2</v>
      </c>
    </row>
    <row r="172" spans="1:5" x14ac:dyDescent="0.35">
      <c r="A172" s="43">
        <v>45607</v>
      </c>
      <c r="B172" s="44">
        <v>60.212158203125</v>
      </c>
      <c r="C172" s="44">
        <v>1445.010009765625</v>
      </c>
      <c r="D172" s="45">
        <v>-1.7964170209980757E-2</v>
      </c>
      <c r="E172" s="46">
        <v>2.0184666224206893E-2</v>
      </c>
    </row>
    <row r="173" spans="1:5" x14ac:dyDescent="0.35">
      <c r="A173" s="43">
        <v>45614</v>
      </c>
      <c r="B173" s="44">
        <v>59.064826965332031</v>
      </c>
      <c r="C173" s="44">
        <v>1468.6600341796875</v>
      </c>
      <c r="D173" s="45">
        <v>-1.905481005883336E-2</v>
      </c>
      <c r="E173" s="46">
        <v>1.6366685527596125E-2</v>
      </c>
    </row>
    <row r="174" spans="1:5" x14ac:dyDescent="0.35">
      <c r="A174" s="43">
        <v>45621</v>
      </c>
      <c r="B174" s="44">
        <v>60.80877685546875</v>
      </c>
      <c r="C174" s="44">
        <v>1454.2099609375</v>
      </c>
      <c r="D174" s="45">
        <v>2.952603063004533E-2</v>
      </c>
      <c r="E174" s="46">
        <v>-9.8389504077834866E-3</v>
      </c>
    </row>
    <row r="175" spans="1:5" x14ac:dyDescent="0.35">
      <c r="A175" s="43">
        <v>45628</v>
      </c>
      <c r="B175" s="44">
        <v>65.122756958007813</v>
      </c>
      <c r="C175" s="44">
        <v>1449.5799560546875</v>
      </c>
      <c r="D175" s="45">
        <v>7.0943378992683881E-2</v>
      </c>
      <c r="E175" s="46">
        <v>-3.1838627207777526E-3</v>
      </c>
    </row>
    <row r="176" spans="1:5" x14ac:dyDescent="0.35">
      <c r="A176" s="43">
        <v>45635</v>
      </c>
      <c r="B176" s="44">
        <v>67.555099487304688</v>
      </c>
      <c r="C176" s="44">
        <v>1445.8699951171875</v>
      </c>
      <c r="D176" s="45">
        <v>3.7350116041083625E-2</v>
      </c>
      <c r="E176" s="46">
        <v>-2.559335152230835E-3</v>
      </c>
    </row>
    <row r="177" spans="1:5" x14ac:dyDescent="0.35">
      <c r="A177" s="43">
        <v>45642</v>
      </c>
      <c r="B177" s="44">
        <v>65.168647766113281</v>
      </c>
      <c r="C177" s="44">
        <v>1400.5400390625</v>
      </c>
      <c r="D177" s="45">
        <v>-3.532600409595843E-2</v>
      </c>
      <c r="E177" s="46">
        <v>-3.1351336017601983E-2</v>
      </c>
    </row>
    <row r="178" spans="1:5" x14ac:dyDescent="0.35">
      <c r="A178" s="43">
        <v>45649</v>
      </c>
      <c r="B178" s="44">
        <v>66.683135986328125</v>
      </c>
      <c r="C178" s="44">
        <v>1425.0999755859375</v>
      </c>
      <c r="D178" s="45">
        <v>2.3239521950037423E-2</v>
      </c>
      <c r="E178" s="46">
        <v>1.7536047409167699E-2</v>
      </c>
    </row>
    <row r="179" spans="1:5" x14ac:dyDescent="0.35">
      <c r="A179" s="43">
        <v>45656</v>
      </c>
      <c r="B179" s="44">
        <v>67.463325500488281</v>
      </c>
      <c r="C179" s="44">
        <v>1462.47998046875</v>
      </c>
      <c r="D179" s="45">
        <v>1.169995235857102E-2</v>
      </c>
      <c r="E179" s="46">
        <v>2.6229742139630252E-2</v>
      </c>
    </row>
    <row r="180" spans="1:5" x14ac:dyDescent="0.35">
      <c r="A180" s="43">
        <v>45663</v>
      </c>
      <c r="B180" s="44">
        <v>67.968147277832031</v>
      </c>
      <c r="C180" s="44">
        <v>1479.81005859375</v>
      </c>
      <c r="D180" s="45">
        <v>7.4829068030466406E-3</v>
      </c>
      <c r="E180" s="46">
        <v>1.184978827501304E-2</v>
      </c>
    </row>
    <row r="181" spans="1:5" x14ac:dyDescent="0.35">
      <c r="A181" s="43">
        <v>45670</v>
      </c>
      <c r="B181" s="44">
        <v>67.784576416015625</v>
      </c>
      <c r="C181" s="44">
        <v>1493.6500244140625</v>
      </c>
      <c r="D181" s="45">
        <v>-2.7008366296351616E-3</v>
      </c>
      <c r="E181" s="46">
        <v>9.3525285491466992E-3</v>
      </c>
    </row>
    <row r="182" spans="1:5" x14ac:dyDescent="0.35">
      <c r="A182" s="43">
        <v>45677</v>
      </c>
      <c r="B182" s="44">
        <v>68.886016845703125</v>
      </c>
      <c r="C182" s="44">
        <v>1489.1400146484375</v>
      </c>
      <c r="D182" s="45">
        <v>1.62491305238468E-2</v>
      </c>
      <c r="E182" s="46">
        <v>-3.0194554895107695E-3</v>
      </c>
    </row>
    <row r="183" spans="1:5" x14ac:dyDescent="0.35">
      <c r="A183" s="43">
        <v>45684</v>
      </c>
      <c r="B183" s="44">
        <v>76.137176513671875</v>
      </c>
      <c r="C183" s="44">
        <v>1515.4599609375</v>
      </c>
      <c r="D183" s="45">
        <v>0.10526315789473695</v>
      </c>
      <c r="E183" s="46">
        <v>1.7674594752781658E-2</v>
      </c>
    </row>
    <row r="184" spans="1:5" x14ac:dyDescent="0.35">
      <c r="A184" s="43">
        <v>45691</v>
      </c>
      <c r="B184" s="44">
        <v>72.144447326660156</v>
      </c>
      <c r="C184" s="44">
        <v>1485.0999755859375</v>
      </c>
      <c r="D184" s="45">
        <v>-5.2441256293431771E-2</v>
      </c>
      <c r="E184" s="46">
        <v>-2.0033512025471878E-2</v>
      </c>
    </row>
    <row r="185" spans="1:5" x14ac:dyDescent="0.35">
      <c r="A185" s="43">
        <v>45698</v>
      </c>
      <c r="B185" s="44">
        <v>72.236228942871094</v>
      </c>
      <c r="C185" s="44">
        <v>1488.199951171875</v>
      </c>
      <c r="D185" s="45">
        <v>1.2721923808682867E-3</v>
      </c>
      <c r="E185" s="46">
        <v>2.0873851167590995E-3</v>
      </c>
    </row>
    <row r="186" spans="1:5" x14ac:dyDescent="0.35">
      <c r="A186" s="43">
        <v>45705</v>
      </c>
      <c r="B186" s="44">
        <v>74.485015869140625</v>
      </c>
      <c r="C186" s="44">
        <v>1500.239990234375</v>
      </c>
      <c r="D186" s="45">
        <v>3.1131012224461685E-2</v>
      </c>
      <c r="E186" s="46">
        <v>8.0903369557425719E-3</v>
      </c>
    </row>
    <row r="187" spans="1:5" x14ac:dyDescent="0.35">
      <c r="A187" s="43">
        <v>45712</v>
      </c>
      <c r="B187" s="44">
        <v>74.347335815429688</v>
      </c>
      <c r="C187" s="44">
        <v>1489.6500244140625</v>
      </c>
      <c r="D187" s="45">
        <v>-1.8484261848425998E-3</v>
      </c>
      <c r="E187" s="46">
        <v>-7.0588478438426971E-3</v>
      </c>
    </row>
    <row r="188" spans="1:5" x14ac:dyDescent="0.35">
      <c r="A188" s="43">
        <v>45719</v>
      </c>
      <c r="B188" s="44">
        <v>72.603378295898438</v>
      </c>
      <c r="C188" s="44">
        <v>1490.9100341796875</v>
      </c>
      <c r="D188" s="45">
        <v>-2.3456893248477662E-2</v>
      </c>
      <c r="E188" s="46">
        <v>8.4584281205279943E-4</v>
      </c>
    </row>
    <row r="189" spans="1:5" x14ac:dyDescent="0.35">
      <c r="A189" s="43">
        <v>45726</v>
      </c>
      <c r="B189" s="44">
        <v>73.980186462402344</v>
      </c>
      <c r="C189" s="44">
        <v>1504.510009765625</v>
      </c>
      <c r="D189" s="45">
        <v>1.8963417389376236E-2</v>
      </c>
      <c r="E189" s="46">
        <v>9.1219290729507296E-3</v>
      </c>
    </row>
    <row r="190" spans="1:5" x14ac:dyDescent="0.35">
      <c r="A190" s="43">
        <v>45733</v>
      </c>
      <c r="B190" s="44">
        <v>77.192718505859375</v>
      </c>
      <c r="C190" s="44">
        <v>1534.3499755859375</v>
      </c>
      <c r="D190" s="45">
        <v>4.342422203936569E-2</v>
      </c>
      <c r="E190" s="46">
        <v>1.9833677161749774E-2</v>
      </c>
    </row>
    <row r="191" spans="1:5" x14ac:dyDescent="0.35">
      <c r="A191" s="43">
        <v>45740</v>
      </c>
      <c r="B191" s="44">
        <v>77.927024841308594</v>
      </c>
      <c r="C191" s="44">
        <v>1513.97998046875</v>
      </c>
      <c r="D191" s="45">
        <v>9.5126373272302889E-3</v>
      </c>
      <c r="E191" s="46">
        <v>-1.3275977085611568E-2</v>
      </c>
    </row>
    <row r="192" spans="1:5" x14ac:dyDescent="0.35">
      <c r="A192" s="43">
        <v>45747</v>
      </c>
      <c r="B192" s="44">
        <v>73.796615600585938</v>
      </c>
      <c r="C192" s="44">
        <v>1396.1300048828125</v>
      </c>
      <c r="D192" s="45">
        <v>-5.3003553634106582E-2</v>
      </c>
      <c r="E192" s="46">
        <v>-7.7841171684086219E-2</v>
      </c>
    </row>
    <row r="193" spans="1:5" x14ac:dyDescent="0.35">
      <c r="A193" s="43">
        <v>45754</v>
      </c>
      <c r="B193" s="44">
        <v>67.738685607910156</v>
      </c>
      <c r="C193" s="44">
        <v>1407.760009765625</v>
      </c>
      <c r="D193" s="45">
        <v>-8.208953680834763E-2</v>
      </c>
      <c r="E193" s="46">
        <v>8.3301732948493079E-3</v>
      </c>
    </row>
    <row r="194" spans="1:5" x14ac:dyDescent="0.35">
      <c r="A194" s="43">
        <v>45761</v>
      </c>
      <c r="B194" s="44">
        <v>68.931907653808594</v>
      </c>
      <c r="C194" s="44">
        <v>1447.469970703125</v>
      </c>
      <c r="D194" s="45">
        <v>1.7615075273310188E-2</v>
      </c>
      <c r="E194" s="46">
        <v>2.8207905226766083E-2</v>
      </c>
    </row>
    <row r="195" spans="1:5" x14ac:dyDescent="0.35">
      <c r="A195" s="43">
        <v>45768</v>
      </c>
      <c r="B195" s="44">
        <v>70.107612609863281</v>
      </c>
      <c r="C195" s="44">
        <v>1456.4300537109375</v>
      </c>
      <c r="D195" s="45">
        <v>1.7056033933651404E-2</v>
      </c>
      <c r="E195" s="46">
        <v>6.1901684934162482E-3</v>
      </c>
    </row>
    <row r="196" spans="1:5" x14ac:dyDescent="0.35">
      <c r="A196" s="43">
        <v>45775</v>
      </c>
      <c r="B196" s="44">
        <v>75.973953247070313</v>
      </c>
      <c r="C196" s="44">
        <v>1510.1500244140625</v>
      </c>
      <c r="D196" s="45">
        <v>8.36762288548063E-2</v>
      </c>
      <c r="E196" s="46">
        <v>3.6884689770200874E-2</v>
      </c>
    </row>
    <row r="197" spans="1:5" x14ac:dyDescent="0.35">
      <c r="A197" s="43">
        <v>45782</v>
      </c>
      <c r="B197" s="44">
        <v>78.378189086914063</v>
      </c>
      <c r="C197" s="44">
        <v>1505.3499755859375</v>
      </c>
      <c r="D197" s="45">
        <v>3.1645527672162554E-2</v>
      </c>
      <c r="E197" s="46">
        <v>-3.1785244846699312E-3</v>
      </c>
    </row>
    <row r="198" spans="1:5" x14ac:dyDescent="0.35">
      <c r="A198" s="43">
        <v>45789</v>
      </c>
      <c r="B198" s="44">
        <v>77.320327758789063</v>
      </c>
      <c r="C198" s="44">
        <v>1565.56005859375</v>
      </c>
      <c r="D198" s="45">
        <v>-1.3496884024099209E-2</v>
      </c>
      <c r="E198" s="46">
        <v>3.9997398601196776E-2</v>
      </c>
    </row>
    <row r="199" spans="1:5" x14ac:dyDescent="0.35">
      <c r="A199" s="43">
        <v>45796</v>
      </c>
      <c r="B199" s="44">
        <v>76.166290283203125</v>
      </c>
      <c r="C199" s="44">
        <v>1549.6700439453125</v>
      </c>
      <c r="D199" s="45">
        <v>-1.4925408479722346E-2</v>
      </c>
      <c r="E199" s="46">
        <v>-1.0149731759706904E-2</v>
      </c>
    </row>
    <row r="200" spans="1:5" x14ac:dyDescent="0.35">
      <c r="A200" s="43">
        <v>45803</v>
      </c>
      <c r="B200" s="44">
        <v>76.550971984863281</v>
      </c>
      <c r="C200" s="44">
        <v>1561.6099853515625</v>
      </c>
      <c r="D200" s="45">
        <v>5.0505505812326046E-3</v>
      </c>
      <c r="E200" s="46">
        <v>7.7048281683578246E-3</v>
      </c>
    </row>
    <row r="201" spans="1:5" x14ac:dyDescent="0.35">
      <c r="A201" s="43">
        <v>45810</v>
      </c>
      <c r="B201" s="44">
        <v>77.416496276855469</v>
      </c>
      <c r="C201" s="44">
        <v>1584.6099853515625</v>
      </c>
      <c r="D201" s="45">
        <v>1.1306509500145001E-2</v>
      </c>
      <c r="E201" s="46">
        <v>1.4728389428697142E-2</v>
      </c>
    </row>
    <row r="202" spans="1:5" x14ac:dyDescent="0.35">
      <c r="A202" s="43">
        <v>45817</v>
      </c>
      <c r="B202" s="44">
        <v>80.301582336425781</v>
      </c>
      <c r="C202" s="44">
        <v>1627.3699951171875</v>
      </c>
      <c r="D202" s="45">
        <v>3.7267070951554349E-2</v>
      </c>
      <c r="E202" s="46">
        <v>2.6984564126760979E-2</v>
      </c>
    </row>
    <row r="203" spans="1:5" x14ac:dyDescent="0.35">
      <c r="A203" s="43">
        <v>45824</v>
      </c>
      <c r="B203" s="44">
        <v>83.186668395996094</v>
      </c>
      <c r="C203" s="44">
        <v>1643.8499755859375</v>
      </c>
      <c r="D203" s="45">
        <v>3.5928134609890527E-2</v>
      </c>
      <c r="E203" s="46">
        <v>1.0126756987161478E-2</v>
      </c>
    </row>
    <row r="204" spans="1:5" x14ac:dyDescent="0.35">
      <c r="A204" s="43">
        <v>45831</v>
      </c>
      <c r="B204" s="44">
        <v>82.321144104003906</v>
      </c>
      <c r="C204" s="44">
        <v>1607.72998046875</v>
      </c>
      <c r="D204" s="45">
        <v>-1.0404603389956746E-2</v>
      </c>
      <c r="E204" s="46">
        <v>-2.1972805093915415E-2</v>
      </c>
    </row>
    <row r="205" spans="1:5" x14ac:dyDescent="0.35">
      <c r="A205" s="43">
        <v>45838</v>
      </c>
      <c r="B205" s="44">
        <v>85.398574829101563</v>
      </c>
      <c r="C205" s="44">
        <v>1631.8800048828125</v>
      </c>
      <c r="D205" s="45">
        <v>3.7383235602382436E-2</v>
      </c>
      <c r="E205" s="46">
        <v>1.5021194297204943E-2</v>
      </c>
    </row>
    <row r="206" spans="1:5" x14ac:dyDescent="0.35">
      <c r="A206" s="43">
        <v>45845</v>
      </c>
      <c r="B206" s="44">
        <v>91.938102722167969</v>
      </c>
      <c r="C206" s="44">
        <v>1627.1400146484375</v>
      </c>
      <c r="D206" s="45">
        <v>7.6576545992169232E-2</v>
      </c>
      <c r="E206" s="46">
        <v>-2.9046193471286008E-3</v>
      </c>
    </row>
    <row r="207" spans="1:5" x14ac:dyDescent="0.35">
      <c r="A207" s="43">
        <v>45852</v>
      </c>
      <c r="B207" s="44">
        <v>93.284477233886719</v>
      </c>
      <c r="C207" s="44">
        <v>1616.9200439453125</v>
      </c>
      <c r="D207" s="45">
        <v>1.464435823509902E-2</v>
      </c>
      <c r="E207" s="46">
        <v>-6.2809411673974136E-3</v>
      </c>
    </row>
    <row r="208" spans="1:5" x14ac:dyDescent="0.35">
      <c r="A208" s="43">
        <v>45859</v>
      </c>
      <c r="B208" s="44">
        <v>91.745765686035156</v>
      </c>
      <c r="C208" s="44">
        <v>1614.530029296875</v>
      </c>
      <c r="D208" s="45">
        <v>-1.6494829509454578E-2</v>
      </c>
      <c r="E208" s="46">
        <v>-1.4781279120059665E-3</v>
      </c>
    </row>
    <row r="209" spans="1:5" x14ac:dyDescent="0.35">
      <c r="A209" s="43">
        <v>45866</v>
      </c>
      <c r="B209" s="44">
        <v>92.4189453125</v>
      </c>
      <c r="C209" s="44">
        <v>1605.4300537109375</v>
      </c>
      <c r="D209" s="45">
        <v>7.3374462726545353E-3</v>
      </c>
      <c r="E209" s="46">
        <v>-5.6362999887344944E-3</v>
      </c>
    </row>
    <row r="210" spans="1:5" x14ac:dyDescent="0.35">
      <c r="A210" s="43">
        <v>45873</v>
      </c>
      <c r="B210" s="44">
        <v>92.70745849609375</v>
      </c>
      <c r="C210" s="44">
        <v>1622.719970703125</v>
      </c>
      <c r="D210" s="45">
        <v>3.1217969715862104E-3</v>
      </c>
      <c r="E210" s="46">
        <v>1.0769648264788545E-2</v>
      </c>
    </row>
    <row r="211" spans="1:5" x14ac:dyDescent="0.35">
      <c r="A211" s="43">
        <v>45880</v>
      </c>
      <c r="B211" s="44">
        <v>92.995964050292969</v>
      </c>
      <c r="C211" s="44">
        <v>1634.22998046875</v>
      </c>
      <c r="D211" s="45">
        <v>3.1119993890391662E-3</v>
      </c>
      <c r="E211" s="46">
        <v>7.0930351344833387E-3</v>
      </c>
    </row>
    <row r="212" spans="1:5" x14ac:dyDescent="0.35">
      <c r="A212" s="43">
        <v>45887</v>
      </c>
      <c r="B212" s="44">
        <v>95.015525817871094</v>
      </c>
      <c r="C212" s="44">
        <v>1664.4200439453125</v>
      </c>
      <c r="D212" s="45">
        <v>2.1716660375561414E-2</v>
      </c>
      <c r="E212" s="46">
        <v>1.847357094006008E-2</v>
      </c>
    </row>
    <row r="213" spans="1:5" x14ac:dyDescent="0.35">
      <c r="A213" s="43">
        <v>45894</v>
      </c>
      <c r="B213" s="44">
        <v>93.380645751953125</v>
      </c>
      <c r="C213" s="44">
        <v>1646.469970703125</v>
      </c>
      <c r="D213" s="45">
        <v>-1.7206451807168399E-2</v>
      </c>
      <c r="E213" s="46">
        <v>-1.078458127651416E-2</v>
      </c>
    </row>
    <row r="214" spans="1:5" x14ac:dyDescent="0.35">
      <c r="A214" s="43">
        <v>45901</v>
      </c>
      <c r="B214" s="44">
        <v>94.727020263671875</v>
      </c>
      <c r="C214" s="44">
        <v>1625.8800048828125</v>
      </c>
      <c r="D214" s="45">
        <v>1.4418132375044079E-2</v>
      </c>
      <c r="E214" s="46">
        <v>-1.2505521623039084E-2</v>
      </c>
    </row>
    <row r="215" spans="1:5" x14ac:dyDescent="0.35">
      <c r="A215" s="43">
        <v>45908</v>
      </c>
      <c r="B215" s="44">
        <v>99.054649353027344</v>
      </c>
      <c r="C215" s="44">
        <v>1654.6199951171875</v>
      </c>
      <c r="D215" s="45">
        <v>4.5685265696203237E-2</v>
      </c>
      <c r="E215" s="46">
        <v>1.7676575238064096E-2</v>
      </c>
    </row>
    <row r="216" spans="1:5" x14ac:dyDescent="0.35">
      <c r="A216" s="43">
        <v>45915</v>
      </c>
      <c r="B216" s="44">
        <v>97.515937805175781</v>
      </c>
      <c r="C216" s="44">
        <v>1645.6500244140625</v>
      </c>
      <c r="D216" s="45">
        <v>-1.553396592589662E-2</v>
      </c>
      <c r="E216" s="46">
        <v>-5.4211666301601236E-3</v>
      </c>
    </row>
    <row r="217" spans="1:5" x14ac:dyDescent="0.35">
      <c r="A217" s="43">
        <v>45922</v>
      </c>
      <c r="B217" s="44">
        <v>96.169563293457031</v>
      </c>
      <c r="C217" s="44">
        <v>1662.4300537109375</v>
      </c>
      <c r="D217" s="45">
        <v>-1.3806712441289615E-2</v>
      </c>
      <c r="E217" s="46">
        <v>1.0196596510761546E-2</v>
      </c>
    </row>
    <row r="218" spans="1:5" x14ac:dyDescent="0.35">
      <c r="A218" s="43">
        <v>45929</v>
      </c>
      <c r="B218" s="44">
        <v>94.246170043945313</v>
      </c>
      <c r="C218" s="44">
        <v>1650.47998046875</v>
      </c>
      <c r="D218" s="45">
        <v>-2.0000020626511295E-2</v>
      </c>
      <c r="E218" s="46">
        <v>-7.1883164139820988E-3</v>
      </c>
    </row>
    <row r="219" spans="1:5" x14ac:dyDescent="0.35">
      <c r="A219" s="43">
        <v>45936</v>
      </c>
      <c r="B219" s="44">
        <v>95.592544555664063</v>
      </c>
      <c r="C219" s="44">
        <v>1650.8599853515625</v>
      </c>
      <c r="D219" s="45">
        <v>1.4285721224437609E-2</v>
      </c>
      <c r="E219" s="46">
        <v>2.3023901368657285E-4</v>
      </c>
    </row>
    <row r="220" spans="1:5" x14ac:dyDescent="0.35">
      <c r="A220" s="43">
        <v>45943</v>
      </c>
      <c r="B220" s="44">
        <v>95.592544555664063</v>
      </c>
      <c r="C220" s="44">
        <v>1623.1800537109375</v>
      </c>
      <c r="D220" s="45">
        <v>0</v>
      </c>
      <c r="E220" s="46">
        <v>-1.6766977142964934E-2</v>
      </c>
    </row>
    <row r="221" spans="1:5" x14ac:dyDescent="0.35">
      <c r="A221" s="43">
        <v>45950</v>
      </c>
      <c r="B221" s="44">
        <v>97.900619506835938</v>
      </c>
      <c r="C221" s="44">
        <v>1642.8299560546875</v>
      </c>
      <c r="D221" s="45">
        <v>2.4144926384168652E-2</v>
      </c>
      <c r="E221" s="46">
        <v>1.2105805698404248E-2</v>
      </c>
    </row>
    <row r="222" spans="1:5" x14ac:dyDescent="0.35">
      <c r="A222" s="43">
        <v>45957</v>
      </c>
      <c r="B222" s="44">
        <v>83.956031799316406</v>
      </c>
      <c r="C222" s="44">
        <v>1611.800048828125</v>
      </c>
      <c r="D222" s="45">
        <v>-0.14243615390550057</v>
      </c>
      <c r="E222" s="46">
        <v>-1.8888082185378408E-2</v>
      </c>
    </row>
    <row r="223" spans="1:5" x14ac:dyDescent="0.35">
      <c r="A223" s="43">
        <v>45964</v>
      </c>
      <c r="B223" s="44">
        <v>80.301582336425781</v>
      </c>
      <c r="C223" s="44">
        <v>1599.2099609375</v>
      </c>
      <c r="D223" s="45">
        <v>-4.3528134722065071E-2</v>
      </c>
      <c r="E223" s="46">
        <v>-7.8111971145420345E-3</v>
      </c>
    </row>
    <row r="224" spans="1:5" x14ac:dyDescent="0.35">
      <c r="A224" s="43">
        <v>45971</v>
      </c>
      <c r="B224" s="44">
        <v>83.2828369140625</v>
      </c>
      <c r="C224" s="44">
        <v>1614.7900390625</v>
      </c>
      <c r="D224" s="45">
        <v>3.7125726428984596E-2</v>
      </c>
      <c r="E224" s="46">
        <v>9.7423593559076149E-3</v>
      </c>
    </row>
    <row r="225" spans="1:5" x14ac:dyDescent="0.35">
      <c r="A225" s="43">
        <v>45978</v>
      </c>
      <c r="B225" s="44">
        <v>84.436874389648438</v>
      </c>
      <c r="C225" s="44">
        <v>1583.6700439453125</v>
      </c>
      <c r="D225" s="45">
        <v>1.385684636051443E-2</v>
      </c>
      <c r="E225" s="46">
        <v>-1.9271852293103575E-2</v>
      </c>
    </row>
    <row r="226" spans="1:5" x14ac:dyDescent="0.35">
      <c r="A226" s="43">
        <v>45985</v>
      </c>
      <c r="B226" s="44">
        <v>87.321968078613281</v>
      </c>
      <c r="C226" s="44">
        <v>1609.6700439453125</v>
      </c>
      <c r="D226" s="45">
        <v>3.4168646220264831E-2</v>
      </c>
      <c r="E226" s="46">
        <v>1.6417561283932347E-2</v>
      </c>
    </row>
    <row r="227" spans="1:5" x14ac:dyDescent="0.35">
      <c r="A227" s="43">
        <v>45992</v>
      </c>
      <c r="B227" s="44">
        <v>87.995147705078125</v>
      </c>
      <c r="C227" s="44">
        <v>1632.449951171875</v>
      </c>
      <c r="D227" s="45">
        <v>7.7091669058444445E-3</v>
      </c>
      <c r="E227" s="46">
        <v>1.4151911015706453E-2</v>
      </c>
    </row>
    <row r="228" spans="1:5" x14ac:dyDescent="0.35">
      <c r="A228" s="43">
        <v>45999</v>
      </c>
      <c r="B228" s="44">
        <v>89.533859252929688</v>
      </c>
      <c r="C228" s="44">
        <v>1642.81005859375</v>
      </c>
      <c r="D228" s="45">
        <v>1.7486322689163059E-2</v>
      </c>
      <c r="E228" s="46">
        <v>6.3463553136424711E-3</v>
      </c>
    </row>
    <row r="229" spans="1:5" x14ac:dyDescent="0.35">
      <c r="A229" s="43">
        <v>46006</v>
      </c>
      <c r="B229" s="44">
        <v>90.399391174316406</v>
      </c>
      <c r="C229" s="44">
        <v>1660.1400146484375</v>
      </c>
      <c r="D229" s="45">
        <v>9.6670905131166496E-3</v>
      </c>
      <c r="E229" s="46">
        <v>1.0548971236225668E-2</v>
      </c>
    </row>
    <row r="230" spans="1:5" x14ac:dyDescent="0.35">
      <c r="A230" s="43">
        <v>46013</v>
      </c>
      <c r="B230" s="44">
        <v>90.110877990722656</v>
      </c>
      <c r="C230" s="44">
        <v>1666.510009765625</v>
      </c>
      <c r="D230" s="45">
        <v>-3.1915390119985343E-3</v>
      </c>
      <c r="E230" s="46">
        <v>3.837022817943625E-3</v>
      </c>
    </row>
    <row r="231" spans="1:5" x14ac:dyDescent="0.35">
      <c r="A231" s="43">
        <v>46020</v>
      </c>
      <c r="B231" s="44">
        <v>89.437690734863281</v>
      </c>
      <c r="C231" s="44">
        <v>1696.949951171875</v>
      </c>
      <c r="D231" s="45">
        <v>-7.4706547186088601E-3</v>
      </c>
      <c r="E231" s="46">
        <v>1.8265681710805337E-2</v>
      </c>
    </row>
    <row r="232" spans="1:5" x14ac:dyDescent="0.35">
      <c r="A232" s="43">
        <v>46027</v>
      </c>
      <c r="B232" s="44">
        <v>90.01470947265625</v>
      </c>
      <c r="C232" s="44">
        <v>1697.1700439453125</v>
      </c>
      <c r="D232" s="45">
        <v>6.4516283129842922E-3</v>
      </c>
      <c r="E232" s="46">
        <v>1.2969903637150004E-4</v>
      </c>
    </row>
    <row r="233" spans="1:5" x14ac:dyDescent="0.35">
      <c r="A233" s="43">
        <v>46034</v>
      </c>
      <c r="B233" s="44">
        <v>87.418128967285156</v>
      </c>
      <c r="C233" s="44">
        <v>1750.9000244140625</v>
      </c>
      <c r="D233" s="45">
        <v>-2.8846179925291593E-2</v>
      </c>
      <c r="E233" s="46">
        <v>3.165857225705393E-2</v>
      </c>
    </row>
    <row r="234" spans="1:5" x14ac:dyDescent="0.35">
      <c r="A234" s="43">
        <v>46041</v>
      </c>
      <c r="B234" s="44">
        <v>88.187484741210938</v>
      </c>
      <c r="C234" s="44">
        <v>1733.3800048828125</v>
      </c>
      <c r="D234" s="45">
        <v>8.8008721190280248E-3</v>
      </c>
      <c r="E234" s="46">
        <v>-1.0006293498746821E-2</v>
      </c>
    </row>
    <row r="235" spans="1:5" x14ac:dyDescent="0.35">
      <c r="A235" s="43">
        <v>46048</v>
      </c>
      <c r="B235" s="44">
        <v>85.110061645507813</v>
      </c>
      <c r="C235" s="44">
        <v>1760.3800048828125</v>
      </c>
      <c r="D235" s="45">
        <v>-3.489636998644341E-2</v>
      </c>
      <c r="E235" s="46">
        <v>1.5576503665637675E-2</v>
      </c>
    </row>
    <row r="236" spans="1:5" x14ac:dyDescent="0.35">
      <c r="A236" s="43">
        <v>46055</v>
      </c>
      <c r="B236" s="44">
        <v>83.859855651855469</v>
      </c>
      <c r="C236" s="44">
        <v>1800.8900146484375</v>
      </c>
      <c r="D236" s="45">
        <v>-1.4689285490822268E-2</v>
      </c>
      <c r="E236" s="46">
        <v>2.3012082421557389E-2</v>
      </c>
    </row>
    <row r="237" spans="1:5" x14ac:dyDescent="0.35">
      <c r="A237" s="43">
        <v>46062</v>
      </c>
      <c r="B237" s="44">
        <v>83.379005432128906</v>
      </c>
      <c r="C237" s="44">
        <v>1822.93994140625</v>
      </c>
      <c r="D237" s="45">
        <v>-5.7339738542219187E-3</v>
      </c>
      <c r="E237" s="46">
        <v>1.2243905279311074E-2</v>
      </c>
    </row>
    <row r="238" spans="1:5" x14ac:dyDescent="0.35">
      <c r="A238" s="43">
        <v>46069</v>
      </c>
      <c r="B238" s="44">
        <v>85.302398681640625</v>
      </c>
      <c r="C238" s="44">
        <v>1884.1500244140625</v>
      </c>
      <c r="D238" s="45">
        <v>2.3068076184686204E-2</v>
      </c>
      <c r="E238" s="46">
        <v>3.3577673963627097E-2</v>
      </c>
    </row>
    <row r="239" spans="1:5" x14ac:dyDescent="0.35">
      <c r="A239" s="43">
        <v>46076</v>
      </c>
      <c r="B239" s="44">
        <v>87.706634521484375</v>
      </c>
      <c r="C239" s="44">
        <v>1892.0400390625</v>
      </c>
      <c r="D239" s="45">
        <v>2.8184856193981922E-2</v>
      </c>
      <c r="E239" s="46">
        <v>4.1875724046396279E-3</v>
      </c>
    </row>
    <row r="240" spans="1:5" x14ac:dyDescent="0.35">
      <c r="A240" s="43">
        <v>46083</v>
      </c>
      <c r="B240" s="44">
        <v>85.687080383300781</v>
      </c>
      <c r="C240" s="44">
        <v>1904.1800537109375</v>
      </c>
      <c r="D240" s="45">
        <v>-2.3026241392136493E-2</v>
      </c>
      <c r="E240" s="46">
        <v>6.4163624436048838E-3</v>
      </c>
    </row>
    <row r="241" spans="1:5" x14ac:dyDescent="0.35">
      <c r="A241" s="43">
        <v>46090</v>
      </c>
      <c r="B241" s="44">
        <v>87.225791931152344</v>
      </c>
      <c r="C241" s="44">
        <v>1945.949951171875</v>
      </c>
      <c r="D241" s="45">
        <v>1.7957334302540096E-2</v>
      </c>
      <c r="E241" s="46">
        <v>2.1935896964961232E-2</v>
      </c>
    </row>
    <row r="242" spans="1:5" x14ac:dyDescent="0.35">
      <c r="A242" s="43">
        <v>46097</v>
      </c>
      <c r="B242" s="44">
        <v>84.340705871582031</v>
      </c>
      <c r="C242" s="44">
        <v>1966.5</v>
      </c>
      <c r="D242" s="45">
        <v>-3.3076066100351631E-2</v>
      </c>
      <c r="E242" s="46">
        <v>1.0560420023006944E-2</v>
      </c>
    </row>
    <row r="243" spans="1:5" x14ac:dyDescent="0.35">
      <c r="A243" s="43">
        <v>46104</v>
      </c>
      <c r="B243" s="44">
        <v>84.821548461914063</v>
      </c>
      <c r="C243" s="44">
        <v>1981.56005859375</v>
      </c>
      <c r="D243" s="45">
        <v>5.7011923882184234E-3</v>
      </c>
      <c r="E243" s="46">
        <v>7.658305921052655E-3</v>
      </c>
    </row>
    <row r="244" spans="1:5" x14ac:dyDescent="0.35">
      <c r="A244" s="43">
        <v>46111</v>
      </c>
      <c r="B244" s="44">
        <v>90.399391174316406</v>
      </c>
      <c r="C244" s="44">
        <v>2053.050048828125</v>
      </c>
      <c r="D244" s="45">
        <v>6.5759736924714041E-2</v>
      </c>
      <c r="E244" s="46">
        <v>3.6077629807046652E-2</v>
      </c>
    </row>
    <row r="245" spans="1:5" x14ac:dyDescent="0.35">
      <c r="A245" s="43">
        <v>46118</v>
      </c>
      <c r="B245" s="44">
        <v>90.207054138183594</v>
      </c>
      <c r="C245" s="44">
        <v>2043.6099853515625</v>
      </c>
      <c r="D245" s="45">
        <v>-2.1276364103153256E-3</v>
      </c>
      <c r="E245" s="46">
        <v>-4.598067875622891E-3</v>
      </c>
    </row>
    <row r="246" spans="1:5" x14ac:dyDescent="0.35">
      <c r="A246" s="43">
        <v>46125</v>
      </c>
      <c r="B246" s="44">
        <v>89.533859252929688</v>
      </c>
      <c r="C246" s="44">
        <v>1968.3599853515625</v>
      </c>
      <c r="D246" s="45">
        <v>-7.4627742994762825E-3</v>
      </c>
      <c r="E246" s="46">
        <v>-3.6822094499139313E-2</v>
      </c>
    </row>
    <row r="247" spans="1:5" x14ac:dyDescent="0.35">
      <c r="A247" s="43">
        <v>46132</v>
      </c>
      <c r="B247" s="44">
        <v>93.669151306152344</v>
      </c>
      <c r="C247" s="44">
        <v>1994.27001953125</v>
      </c>
      <c r="D247" s="45">
        <v>4.6186907251932752E-2</v>
      </c>
      <c r="E247" s="46">
        <v>1.316325995880252E-2</v>
      </c>
    </row>
    <row r="248" spans="1:5" x14ac:dyDescent="0.35">
      <c r="A248" s="43">
        <v>46139</v>
      </c>
      <c r="B248" s="44">
        <v>94.599998474121094</v>
      </c>
      <c r="C248" s="44">
        <v>2018.6300048828125</v>
      </c>
      <c r="D248" s="45">
        <v>9.937606511735364E-3</v>
      </c>
      <c r="E248" s="46">
        <v>1.2214988498542523E-2</v>
      </c>
    </row>
    <row r="249" spans="1:5" x14ac:dyDescent="0.35">
      <c r="A249" s="43">
        <v>46146</v>
      </c>
      <c r="B249" s="44">
        <v>92.800003051757813</v>
      </c>
      <c r="C249" s="44">
        <v>1970.280029296875</v>
      </c>
      <c r="D249" s="45">
        <v>-1.9027436061277436E-2</v>
      </c>
      <c r="E249" s="46">
        <v>-2.3951876009464357E-2</v>
      </c>
    </row>
    <row r="250" spans="1:5" x14ac:dyDescent="0.35">
      <c r="A250" s="43">
        <v>46153</v>
      </c>
      <c r="B250" s="44">
        <v>90.599998474121094</v>
      </c>
      <c r="C250" s="44">
        <v>2017.8499755859375</v>
      </c>
      <c r="D250" s="45">
        <v>-2.3706945100095522E-2</v>
      </c>
      <c r="E250" s="46">
        <v>2.4143748899509765E-2</v>
      </c>
    </row>
    <row r="251" spans="1:5" x14ac:dyDescent="0.35">
      <c r="A251" s="43">
        <v>46160</v>
      </c>
      <c r="B251" s="44">
        <v>93.800003051757813</v>
      </c>
      <c r="C251" s="44">
        <v>2043.5</v>
      </c>
      <c r="D251" s="45">
        <v>3.5320139420871755E-2</v>
      </c>
      <c r="E251" s="46">
        <v>1.271156167425902E-2</v>
      </c>
    </row>
    <row r="252" spans="1:5" x14ac:dyDescent="0.35">
      <c r="A252" s="43">
        <v>46167</v>
      </c>
      <c r="B252" s="44">
        <v>92.599998474121094</v>
      </c>
      <c r="C252" s="44">
        <v>2000.2900390625</v>
      </c>
      <c r="D252" s="45">
        <v>-1.2793225358154525E-2</v>
      </c>
      <c r="E252" s="46">
        <v>-2.1145075085637344E-2</v>
      </c>
    </row>
    <row r="253" spans="1:5" x14ac:dyDescent="0.35">
      <c r="A253" s="43">
        <v>46174</v>
      </c>
      <c r="B253" s="44">
        <v>93.300003051757813</v>
      </c>
      <c r="C253" s="44">
        <v>2003.9200439453125</v>
      </c>
      <c r="D253" s="45">
        <v>7.5594448074678411E-3</v>
      </c>
      <c r="E253" s="46">
        <v>1.814739268768184E-3</v>
      </c>
    </row>
    <row r="254" spans="1:5" x14ac:dyDescent="0.35">
      <c r="A254" s="43">
        <v>46181</v>
      </c>
      <c r="B254" s="44">
        <v>91.099998474121094</v>
      </c>
      <c r="C254" s="44">
        <v>1995.219970703125</v>
      </c>
      <c r="D254" s="45">
        <v>-2.3579898238762942E-2</v>
      </c>
      <c r="E254" s="46">
        <v>-4.3415271325191185E-3</v>
      </c>
    </row>
    <row r="255" spans="1:5" x14ac:dyDescent="0.35">
      <c r="A255" s="43">
        <v>46188</v>
      </c>
      <c r="B255" s="44">
        <v>88.400001525878906</v>
      </c>
      <c r="C255" s="44">
        <v>1950.4300537109375</v>
      </c>
      <c r="D255" s="45">
        <v>-2.9637727699953542E-2</v>
      </c>
      <c r="E255" s="46">
        <v>-2.2448611005233321E-2</v>
      </c>
    </row>
    <row r="256" spans="1:5" x14ac:dyDescent="0.35">
      <c r="A256" s="43">
        <v>46195</v>
      </c>
      <c r="B256" s="44">
        <v>89</v>
      </c>
      <c r="C256" s="44">
        <v>1900.5699462890625</v>
      </c>
      <c r="D256" s="45">
        <v>6.7873129385120912E-3</v>
      </c>
      <c r="E256" s="46">
        <v>-2.5563648041112774E-2</v>
      </c>
    </row>
    <row r="257" spans="1:5" x14ac:dyDescent="0.35">
      <c r="A257" s="43">
        <v>46202</v>
      </c>
      <c r="B257" s="44">
        <v>89</v>
      </c>
      <c r="C257" s="44">
        <v>1943.9300537109375</v>
      </c>
      <c r="D257" s="45">
        <v>0</v>
      </c>
      <c r="E257" s="46">
        <v>2.281426553468191E-2</v>
      </c>
    </row>
    <row r="258" spans="1:5" x14ac:dyDescent="0.35">
      <c r="A258" s="43">
        <v>46209</v>
      </c>
      <c r="B258" s="44">
        <v>81.199996948242188</v>
      </c>
      <c r="C258" s="44">
        <v>1932.3900146484375</v>
      </c>
      <c r="D258" s="45">
        <v>-8.7640483727615903E-2</v>
      </c>
      <c r="E258" s="46">
        <v>-5.9364476826058166E-3</v>
      </c>
    </row>
    <row r="259" spans="1:5" x14ac:dyDescent="0.35">
      <c r="A259" s="43">
        <v>46216</v>
      </c>
      <c r="B259" s="44">
        <v>83.199996948242188</v>
      </c>
      <c r="C259" s="44">
        <v>1957.31005859375</v>
      </c>
      <c r="D259" s="45">
        <v>2.4630542797616339E-2</v>
      </c>
      <c r="E259" s="46">
        <v>1.2895970149093383E-2</v>
      </c>
    </row>
    <row r="260" spans="1:5" x14ac:dyDescent="0.35">
      <c r="A260" s="43">
        <v>46223</v>
      </c>
      <c r="B260" s="44">
        <v>82.599998474121094</v>
      </c>
      <c r="C260" s="44">
        <v>2007.530029296875</v>
      </c>
      <c r="D260" s="45">
        <v>-7.2115203861647936E-3</v>
      </c>
      <c r="E260" s="46">
        <v>2.5657647076726242E-2</v>
      </c>
    </row>
    <row r="261" spans="1:5" x14ac:dyDescent="0.35">
      <c r="A261" s="43">
        <v>46230</v>
      </c>
      <c r="B261" s="44">
        <v>85.300003051757813</v>
      </c>
      <c r="C261" s="44">
        <v>2018.0799560546875</v>
      </c>
      <c r="D261" s="45">
        <v>3.2687707354893458E-2</v>
      </c>
      <c r="E261" s="46">
        <v>5.2551775584186444E-3</v>
      </c>
    </row>
    <row r="262" spans="1:5" x14ac:dyDescent="0.35">
      <c r="A262" s="43">
        <v>46237</v>
      </c>
      <c r="B262" s="44">
        <v>86.900001525878906</v>
      </c>
      <c r="C262" s="44">
        <v>2025.989990234375</v>
      </c>
      <c r="D262" s="45">
        <v>1.8757308521434091E-2</v>
      </c>
      <c r="E262" s="46">
        <v>3.9195841353836247E-3</v>
      </c>
    </row>
    <row r="263" spans="1:5" x14ac:dyDescent="0.35">
      <c r="A263" s="43">
        <v>46244</v>
      </c>
      <c r="B263" s="44">
        <v>86.199996948242188</v>
      </c>
      <c r="C263" s="44">
        <v>2085.840087890625</v>
      </c>
      <c r="D263" s="45">
        <v>-8.0552884389565316E-3</v>
      </c>
      <c r="E263" s="46">
        <v>2.9541161577667063E-2</v>
      </c>
    </row>
    <row r="264" spans="1:5" x14ac:dyDescent="0.35">
      <c r="A264" s="43">
        <v>46251</v>
      </c>
      <c r="B264" s="44">
        <v>87.5</v>
      </c>
      <c r="C264" s="44">
        <v>2093.580078125</v>
      </c>
      <c r="D264" s="45">
        <v>1.5081242433667263E-2</v>
      </c>
      <c r="E264" s="46">
        <v>3.710730405130036E-3</v>
      </c>
    </row>
    <row r="265" spans="1:5" x14ac:dyDescent="0.35">
      <c r="A265" s="43">
        <v>46258</v>
      </c>
      <c r="B265" s="44">
        <v>89.099998474121094</v>
      </c>
      <c r="C265" s="44">
        <v>2099.85009765625</v>
      </c>
      <c r="D265" s="45">
        <v>1.8285696847098132E-2</v>
      </c>
      <c r="E265" s="46">
        <v>2.9948792485956499E-3</v>
      </c>
    </row>
    <row r="266" spans="1:5" x14ac:dyDescent="0.35">
      <c r="A266" s="47"/>
      <c r="B266" s="44"/>
      <c r="C266" s="44"/>
      <c r="D266" s="45" t="s">
        <v>151</v>
      </c>
      <c r="E266" s="46" t="s">
        <v>151</v>
      </c>
    </row>
    <row r="267" spans="1:5" x14ac:dyDescent="0.35">
      <c r="A267" s="47"/>
      <c r="B267" s="44"/>
      <c r="C267" s="44"/>
      <c r="D267" s="45" t="s">
        <v>151</v>
      </c>
      <c r="E267" s="46" t="s">
        <v>151</v>
      </c>
    </row>
    <row r="268" spans="1:5" x14ac:dyDescent="0.35">
      <c r="A268" s="47"/>
      <c r="B268" s="44"/>
      <c r="C268" s="44"/>
      <c r="D268" s="45" t="s">
        <v>151</v>
      </c>
      <c r="E268" s="46" t="s">
        <v>151</v>
      </c>
    </row>
    <row r="269" spans="1:5" x14ac:dyDescent="0.35">
      <c r="A269" s="47"/>
      <c r="B269" s="44"/>
      <c r="C269" s="44"/>
      <c r="D269" s="45" t="s">
        <v>151</v>
      </c>
      <c r="E269" s="46" t="s">
        <v>151</v>
      </c>
    </row>
    <row r="270" spans="1:5" x14ac:dyDescent="0.35">
      <c r="A270" s="47"/>
      <c r="B270" s="44"/>
      <c r="C270" s="44"/>
      <c r="D270" s="45" t="s">
        <v>151</v>
      </c>
      <c r="E270" s="46" t="s">
        <v>151</v>
      </c>
    </row>
    <row r="271" spans="1:5" x14ac:dyDescent="0.35">
      <c r="A271" s="47"/>
      <c r="B271" s="44"/>
      <c r="C271" s="44"/>
      <c r="D271" s="45" t="s">
        <v>151</v>
      </c>
      <c r="E271" s="46" t="s">
        <v>151</v>
      </c>
    </row>
    <row r="272" spans="1:5" x14ac:dyDescent="0.35">
      <c r="A272" s="47"/>
      <c r="B272" s="44"/>
      <c r="C272" s="44"/>
      <c r="D272" s="45" t="s">
        <v>151</v>
      </c>
      <c r="E272" s="46" t="s">
        <v>151</v>
      </c>
    </row>
    <row r="273" spans="1:5" x14ac:dyDescent="0.35">
      <c r="A273" s="47"/>
      <c r="B273" s="44"/>
      <c r="C273" s="44"/>
      <c r="D273" s="45" t="s">
        <v>151</v>
      </c>
      <c r="E273" s="46" t="s">
        <v>151</v>
      </c>
    </row>
    <row r="274" spans="1:5" x14ac:dyDescent="0.35">
      <c r="A274" s="47"/>
      <c r="B274" s="44"/>
      <c r="C274" s="44"/>
      <c r="D274" s="45" t="s">
        <v>151</v>
      </c>
      <c r="E274" s="46" t="s">
        <v>151</v>
      </c>
    </row>
    <row r="275" spans="1:5" x14ac:dyDescent="0.35">
      <c r="A275" s="47"/>
      <c r="B275" s="44"/>
      <c r="C275" s="44"/>
      <c r="D275" s="45" t="s">
        <v>151</v>
      </c>
      <c r="E275" s="46" t="s">
        <v>151</v>
      </c>
    </row>
    <row r="276" spans="1:5" x14ac:dyDescent="0.35">
      <c r="A276" s="47"/>
      <c r="B276" s="44"/>
      <c r="C276" s="44"/>
      <c r="D276" s="45" t="s">
        <v>151</v>
      </c>
      <c r="E276" s="46" t="s">
        <v>151</v>
      </c>
    </row>
    <row r="277" spans="1:5" x14ac:dyDescent="0.35">
      <c r="A277" s="47"/>
      <c r="B277" s="44"/>
      <c r="C277" s="44"/>
      <c r="D277" s="45" t="s">
        <v>151</v>
      </c>
      <c r="E277" s="46" t="s">
        <v>151</v>
      </c>
    </row>
    <row r="278" spans="1:5" x14ac:dyDescent="0.35">
      <c r="A278" s="47"/>
      <c r="B278" s="44"/>
      <c r="C278" s="44"/>
      <c r="D278" s="45" t="s">
        <v>151</v>
      </c>
      <c r="E278" s="46" t="s">
        <v>151</v>
      </c>
    </row>
    <row r="279" spans="1:5" x14ac:dyDescent="0.35">
      <c r="A279" s="47"/>
      <c r="B279" s="44"/>
      <c r="C279" s="44"/>
      <c r="D279" s="45" t="s">
        <v>151</v>
      </c>
      <c r="E279" s="46" t="s">
        <v>151</v>
      </c>
    </row>
    <row r="280" spans="1:5" x14ac:dyDescent="0.35">
      <c r="A280" s="47"/>
      <c r="B280" s="44"/>
      <c r="C280" s="44"/>
      <c r="D280" s="45" t="s">
        <v>151</v>
      </c>
      <c r="E280" s="46" t="s">
        <v>151</v>
      </c>
    </row>
    <row r="281" spans="1:5" x14ac:dyDescent="0.35">
      <c r="A281" s="47"/>
      <c r="B281" s="44"/>
      <c r="C281" s="44"/>
      <c r="D281" s="45" t="s">
        <v>151</v>
      </c>
      <c r="E281" s="46" t="s">
        <v>151</v>
      </c>
    </row>
    <row r="282" spans="1:5" x14ac:dyDescent="0.35">
      <c r="A282" s="47"/>
      <c r="B282" s="44"/>
      <c r="C282" s="44"/>
      <c r="D282" s="45" t="s">
        <v>151</v>
      </c>
      <c r="E282" s="46" t="s">
        <v>151</v>
      </c>
    </row>
    <row r="283" spans="1:5" x14ac:dyDescent="0.35">
      <c r="A283" s="47"/>
      <c r="B283" s="44"/>
      <c r="C283" s="44"/>
      <c r="D283" s="45" t="s">
        <v>151</v>
      </c>
      <c r="E283" s="46" t="s">
        <v>151</v>
      </c>
    </row>
    <row r="284" spans="1:5" x14ac:dyDescent="0.35">
      <c r="A284" s="47"/>
      <c r="B284" s="44"/>
      <c r="C284" s="44"/>
      <c r="D284" s="45" t="s">
        <v>151</v>
      </c>
      <c r="E284" s="46" t="s">
        <v>151</v>
      </c>
    </row>
    <row r="285" spans="1:5" x14ac:dyDescent="0.35">
      <c r="A285" s="47"/>
      <c r="B285" s="44"/>
      <c r="C285" s="44"/>
      <c r="D285" s="45" t="s">
        <v>151</v>
      </c>
      <c r="E285" s="46" t="s">
        <v>151</v>
      </c>
    </row>
    <row r="286" spans="1:5" x14ac:dyDescent="0.35">
      <c r="A286" s="47"/>
      <c r="B286" s="44"/>
      <c r="C286" s="44"/>
      <c r="D286" s="45" t="s">
        <v>151</v>
      </c>
      <c r="E286" s="46" t="s">
        <v>151</v>
      </c>
    </row>
    <row r="287" spans="1:5" x14ac:dyDescent="0.35">
      <c r="A287" s="47"/>
      <c r="B287" s="44"/>
      <c r="C287" s="44"/>
      <c r="D287" s="45" t="s">
        <v>151</v>
      </c>
      <c r="E287" s="46" t="s">
        <v>151</v>
      </c>
    </row>
    <row r="288" spans="1:5" x14ac:dyDescent="0.35">
      <c r="A288" s="47"/>
      <c r="B288" s="44"/>
      <c r="C288" s="44"/>
      <c r="D288" s="45" t="s">
        <v>151</v>
      </c>
      <c r="E288" s="46" t="s">
        <v>151</v>
      </c>
    </row>
    <row r="289" spans="1:5" x14ac:dyDescent="0.35">
      <c r="A289" s="47"/>
      <c r="B289" s="44"/>
      <c r="C289" s="44"/>
      <c r="D289" s="45" t="s">
        <v>151</v>
      </c>
      <c r="E289" s="46" t="s">
        <v>151</v>
      </c>
    </row>
    <row r="290" spans="1:5" x14ac:dyDescent="0.35">
      <c r="A290" s="47"/>
      <c r="B290" s="44"/>
      <c r="C290" s="44"/>
      <c r="D290" s="45" t="s">
        <v>151</v>
      </c>
      <c r="E290" s="46" t="s">
        <v>151</v>
      </c>
    </row>
    <row r="291" spans="1:5" x14ac:dyDescent="0.35">
      <c r="A291" s="47"/>
      <c r="B291" s="44"/>
      <c r="C291" s="44"/>
      <c r="D291" s="45" t="s">
        <v>151</v>
      </c>
      <c r="E291" s="46" t="s">
        <v>151</v>
      </c>
    </row>
    <row r="292" spans="1:5" x14ac:dyDescent="0.35">
      <c r="A292" s="47"/>
      <c r="B292" s="44"/>
      <c r="C292" s="44"/>
      <c r="D292" s="45" t="s">
        <v>151</v>
      </c>
      <c r="E292" s="46" t="s">
        <v>151</v>
      </c>
    </row>
    <row r="293" spans="1:5" x14ac:dyDescent="0.35">
      <c r="A293" s="47"/>
      <c r="B293" s="44"/>
      <c r="C293" s="44"/>
      <c r="D293" s="45" t="s">
        <v>151</v>
      </c>
      <c r="E293" s="46" t="s">
        <v>151</v>
      </c>
    </row>
    <row r="294" spans="1:5" x14ac:dyDescent="0.35">
      <c r="A294" s="47"/>
      <c r="B294" s="44"/>
      <c r="C294" s="44"/>
      <c r="D294" s="45" t="s">
        <v>151</v>
      </c>
      <c r="E294" s="46" t="s">
        <v>151</v>
      </c>
    </row>
    <row r="295" spans="1:5" x14ac:dyDescent="0.35">
      <c r="A295" s="47"/>
      <c r="B295" s="44"/>
      <c r="C295" s="44"/>
      <c r="D295" s="45" t="s">
        <v>151</v>
      </c>
      <c r="E295" s="46" t="s">
        <v>151</v>
      </c>
    </row>
    <row r="296" spans="1:5" x14ac:dyDescent="0.35">
      <c r="A296" s="47"/>
      <c r="B296" s="44"/>
      <c r="C296" s="44"/>
      <c r="D296" s="45" t="s">
        <v>151</v>
      </c>
      <c r="E296" s="46" t="s">
        <v>151</v>
      </c>
    </row>
    <row r="297" spans="1:5" x14ac:dyDescent="0.35">
      <c r="A297" s="47"/>
      <c r="B297" s="44"/>
      <c r="C297" s="44"/>
      <c r="D297" s="45" t="s">
        <v>151</v>
      </c>
      <c r="E297" s="46" t="s">
        <v>151</v>
      </c>
    </row>
    <row r="298" spans="1:5" x14ac:dyDescent="0.35">
      <c r="A298" s="47"/>
      <c r="B298" s="44"/>
      <c r="C298" s="44"/>
      <c r="D298" s="45" t="s">
        <v>151</v>
      </c>
      <c r="E298" s="46" t="s">
        <v>151</v>
      </c>
    </row>
    <row r="299" spans="1:5" x14ac:dyDescent="0.35">
      <c r="A299" s="47"/>
      <c r="B299" s="44"/>
      <c r="C299" s="44"/>
      <c r="D299" s="45" t="s">
        <v>151</v>
      </c>
      <c r="E299" s="46" t="s">
        <v>151</v>
      </c>
    </row>
    <row r="300" spans="1:5" x14ac:dyDescent="0.35">
      <c r="A300" s="47"/>
      <c r="B300" s="44"/>
      <c r="C300" s="44"/>
      <c r="D300" s="45" t="s">
        <v>151</v>
      </c>
      <c r="E300" s="46" t="s">
        <v>151</v>
      </c>
    </row>
    <row r="301" spans="1:5" x14ac:dyDescent="0.35">
      <c r="A301" s="47"/>
      <c r="B301" s="44"/>
      <c r="C301" s="44"/>
      <c r="D301" s="45" t="s">
        <v>151</v>
      </c>
      <c r="E301" s="46" t="s">
        <v>151</v>
      </c>
    </row>
    <row r="302" spans="1:5" x14ac:dyDescent="0.35">
      <c r="A302" s="47"/>
      <c r="B302" s="44"/>
      <c r="C302" s="44"/>
      <c r="D302" s="45" t="s">
        <v>151</v>
      </c>
      <c r="E302" s="46" t="s">
        <v>151</v>
      </c>
    </row>
    <row r="303" spans="1:5" x14ac:dyDescent="0.35">
      <c r="A303" s="47"/>
      <c r="B303" s="44"/>
      <c r="C303" s="44"/>
      <c r="D303" s="45" t="s">
        <v>151</v>
      </c>
      <c r="E303" s="46" t="s">
        <v>151</v>
      </c>
    </row>
    <row r="304" spans="1:5" x14ac:dyDescent="0.35">
      <c r="A304" s="47"/>
      <c r="B304" s="44"/>
      <c r="C304" s="44"/>
      <c r="D304" s="45" t="s">
        <v>151</v>
      </c>
      <c r="E304" s="46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44729-4C81-4BF0-8EF1-7D0794F33266}">
  <dimension ref="A1:F17"/>
  <sheetViews>
    <sheetView tabSelected="1" topLeftCell="A6" workbookViewId="0">
      <selection activeCell="B17" sqref="B17"/>
    </sheetView>
  </sheetViews>
  <sheetFormatPr defaultColWidth="8.6328125" defaultRowHeight="14.5" x14ac:dyDescent="0.35"/>
  <cols>
    <col min="1" max="1" width="36" customWidth="1"/>
    <col min="2" max="2" width="14" customWidth="1"/>
  </cols>
  <sheetData>
    <row r="1" spans="1:6" ht="16.5" x14ac:dyDescent="0.35">
      <c r="A1" s="1" t="s">
        <v>137</v>
      </c>
    </row>
    <row r="2" spans="1:6" x14ac:dyDescent="0.35">
      <c r="A2" s="2" t="s">
        <v>152</v>
      </c>
    </row>
    <row r="4" spans="1:6" x14ac:dyDescent="0.35">
      <c r="A4" s="52" t="s">
        <v>138</v>
      </c>
      <c r="B4" s="49"/>
      <c r="C4" s="49"/>
      <c r="D4" s="49"/>
      <c r="E4" s="49"/>
      <c r="F4" s="49"/>
    </row>
    <row r="5" spans="1:6" x14ac:dyDescent="0.35">
      <c r="A5" s="20" t="s">
        <v>139</v>
      </c>
      <c r="B5" s="51">
        <f>COUNT([1]Data!D5:D303)</f>
        <v>260</v>
      </c>
    </row>
    <row r="7" spans="1:6" x14ac:dyDescent="0.35">
      <c r="A7" s="52" t="s">
        <v>140</v>
      </c>
      <c r="B7" s="49"/>
      <c r="C7" s="49"/>
      <c r="D7" s="49"/>
      <c r="E7" s="49"/>
      <c r="F7" s="49"/>
    </row>
    <row r="8" spans="1:6" x14ac:dyDescent="0.35">
      <c r="A8" s="4" t="s">
        <v>141</v>
      </c>
      <c r="B8" s="50">
        <f>IFERROR(SLOPE('Price Data'!$D$6:$D265,'Price Data'!$E$6:$E$265),"")</f>
        <v>0.47190074105273255</v>
      </c>
    </row>
    <row r="9" spans="1:6" x14ac:dyDescent="0.35">
      <c r="A9" s="20" t="s">
        <v>142</v>
      </c>
      <c r="B9" s="53">
        <f>IFERROR(INTERCEPT('Price Data'!$D$6:$D$265,'Price Data'!$E$6:$E$265),"")</f>
        <v>1.9154378120596076E-3</v>
      </c>
    </row>
    <row r="10" spans="1:6" x14ac:dyDescent="0.35">
      <c r="A10" s="20" t="s">
        <v>143</v>
      </c>
      <c r="B10" s="54">
        <f>IFERROR(RSQ('Price Data'!$D$6:$D$265,'Price Data'!E$6:$E$265),"")</f>
        <v>5.9676807603025621E-2</v>
      </c>
    </row>
    <row r="11" spans="1:6" x14ac:dyDescent="0.35">
      <c r="A11" s="20" t="s">
        <v>144</v>
      </c>
      <c r="B11" s="54">
        <f>IFERROR(STEYX('Price Data'!$D$6:$D$265,'Price Data'!$E$6:$E$265)/SQRT(DEVSQ('Price Data'!$E$6:$E$265)),"")</f>
        <v>0.11662095377960267</v>
      </c>
    </row>
    <row r="12" spans="1:6" x14ac:dyDescent="0.35">
      <c r="A12" s="20" t="s">
        <v>145</v>
      </c>
      <c r="B12" s="55">
        <f>IFERROR(B8/B11,"")</f>
        <v>4.0464489935878856</v>
      </c>
    </row>
    <row r="13" spans="1:6" x14ac:dyDescent="0.35">
      <c r="A13" s="20" t="s">
        <v>146</v>
      </c>
      <c r="B13" s="54">
        <f>IFERROR(B8-1.96*B11,"")</f>
        <v>0.2433236716447113</v>
      </c>
    </row>
    <row r="14" spans="1:6" x14ac:dyDescent="0.35">
      <c r="A14" s="20" t="s">
        <v>147</v>
      </c>
      <c r="B14" s="54">
        <f>IFERROR(B8+1.96*B11,"")</f>
        <v>0.70047781046075386</v>
      </c>
    </row>
    <row r="16" spans="1:6" x14ac:dyDescent="0.35">
      <c r="A16" s="52" t="s">
        <v>148</v>
      </c>
      <c r="B16" s="49"/>
      <c r="C16" s="49"/>
      <c r="D16" s="49"/>
      <c r="E16" s="49"/>
      <c r="F16" s="49"/>
    </row>
    <row r="17" spans="1:2" x14ac:dyDescent="0.35">
      <c r="A17" s="4" t="s">
        <v>149</v>
      </c>
      <c r="B17" s="50">
        <f>IFERROR(0.67*B8+0.33*1,"")</f>
        <v>0.64617349650533085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"/>
  <sheetViews>
    <sheetView showGridLines="0" topLeftCell="A18" zoomScaleNormal="100" workbookViewId="0">
      <selection activeCell="C23" sqref="C23"/>
    </sheetView>
  </sheetViews>
  <sheetFormatPr defaultColWidth="8.6328125" defaultRowHeight="14.5" x14ac:dyDescent="0.35"/>
  <cols>
    <col min="1" max="1" width="46" customWidth="1"/>
    <col min="2" max="2" width="9.26953125" bestFit="1" customWidth="1"/>
    <col min="3" max="7" width="12" customWidth="1"/>
    <col min="8" max="8" width="2" customWidth="1"/>
    <col min="9" max="9" width="162.36328125" style="27" bestFit="1" customWidth="1"/>
  </cols>
  <sheetData>
    <row r="1" spans="1:9" ht="16.5" x14ac:dyDescent="0.35">
      <c r="A1" s="1" t="s">
        <v>35</v>
      </c>
    </row>
    <row r="2" spans="1:9" x14ac:dyDescent="0.35">
      <c r="A2" s="2" t="s">
        <v>122</v>
      </c>
    </row>
    <row r="4" spans="1:9" x14ac:dyDescent="0.35">
      <c r="A4" s="4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I4" s="28" t="s">
        <v>85</v>
      </c>
    </row>
    <row r="6" spans="1:9" x14ac:dyDescent="0.35">
      <c r="A6" s="6" t="s">
        <v>42</v>
      </c>
      <c r="B6" s="7"/>
      <c r="C6" s="7"/>
      <c r="D6" s="7"/>
      <c r="E6" s="7"/>
      <c r="F6" s="7"/>
      <c r="G6" s="7"/>
      <c r="H6" s="7"/>
      <c r="I6" s="29"/>
    </row>
    <row r="7" spans="1:9" x14ac:dyDescent="0.35">
      <c r="A7" s="3" t="s">
        <v>43</v>
      </c>
      <c r="C7" s="23">
        <v>5.5E-2</v>
      </c>
      <c r="D7" s="23">
        <v>4.4999999999999998E-2</v>
      </c>
      <c r="E7" s="23">
        <v>4.2000000000000003E-2</v>
      </c>
      <c r="F7" s="23">
        <v>0.04</v>
      </c>
      <c r="G7" s="23">
        <v>3.7999999999999999E-2</v>
      </c>
      <c r="I7" s="26" t="s">
        <v>102</v>
      </c>
    </row>
    <row r="8" spans="1:9" x14ac:dyDescent="0.35">
      <c r="A8" s="3" t="s">
        <v>44</v>
      </c>
      <c r="C8" s="23">
        <v>0.01</v>
      </c>
      <c r="D8" s="23">
        <v>0.1</v>
      </c>
      <c r="E8" s="23">
        <v>0.12</v>
      </c>
      <c r="F8" s="23">
        <v>0.04</v>
      </c>
      <c r="G8" s="23">
        <v>3.5000000000000003E-2</v>
      </c>
      <c r="I8" s="26" t="s">
        <v>103</v>
      </c>
    </row>
    <row r="10" spans="1:9" x14ac:dyDescent="0.35">
      <c r="A10" s="6" t="s">
        <v>45</v>
      </c>
      <c r="B10" s="7"/>
      <c r="C10" s="7"/>
      <c r="D10" s="7"/>
      <c r="E10" s="7"/>
      <c r="F10" s="7"/>
      <c r="G10" s="7"/>
      <c r="H10" s="7"/>
      <c r="I10" s="29"/>
    </row>
    <row r="11" spans="1:9" x14ac:dyDescent="0.35">
      <c r="A11" s="3" t="s">
        <v>14</v>
      </c>
      <c r="C11" s="23">
        <v>0.41499999999999998</v>
      </c>
      <c r="D11" s="23">
        <v>0.41699999999999998</v>
      </c>
      <c r="E11" s="23">
        <v>0.42</v>
      </c>
      <c r="F11" s="23">
        <v>0.42099999999999999</v>
      </c>
      <c r="G11" s="23">
        <v>0.42199999999999999</v>
      </c>
      <c r="I11" s="26" t="s">
        <v>104</v>
      </c>
    </row>
    <row r="12" spans="1:9" x14ac:dyDescent="0.35">
      <c r="A12" s="3" t="s">
        <v>126</v>
      </c>
      <c r="C12" s="37">
        <v>0.32300000000000001</v>
      </c>
      <c r="D12" s="37">
        <v>0.318</v>
      </c>
      <c r="E12" s="37">
        <v>0.311</v>
      </c>
      <c r="F12" s="37">
        <v>0.309</v>
      </c>
      <c r="G12" s="37">
        <v>0.308</v>
      </c>
      <c r="I12" s="26" t="s">
        <v>127</v>
      </c>
    </row>
    <row r="13" spans="1:9" x14ac:dyDescent="0.35">
      <c r="A13" s="3" t="s">
        <v>128</v>
      </c>
      <c r="C13" s="23">
        <v>1.0999999999999999E-2</v>
      </c>
      <c r="D13" s="23">
        <v>1.0999999999999999E-2</v>
      </c>
      <c r="E13" s="23">
        <v>1.0999999999999999E-2</v>
      </c>
      <c r="F13" s="23">
        <v>1.0999999999999999E-2</v>
      </c>
      <c r="G13" s="23">
        <v>1.0999999999999999E-2</v>
      </c>
      <c r="I13" s="26" t="s">
        <v>129</v>
      </c>
    </row>
    <row r="15" spans="1:9" x14ac:dyDescent="0.35">
      <c r="A15" s="6" t="s">
        <v>46</v>
      </c>
      <c r="B15" s="7"/>
      <c r="C15" s="7"/>
      <c r="D15" s="7"/>
      <c r="E15" s="7"/>
      <c r="F15" s="7"/>
      <c r="G15" s="7"/>
      <c r="H15" s="7"/>
      <c r="I15" s="29"/>
    </row>
    <row r="16" spans="1:9" x14ac:dyDescent="0.35">
      <c r="A16" s="3" t="s">
        <v>47</v>
      </c>
      <c r="C16" s="23">
        <v>1.2999999999999999E-2</v>
      </c>
      <c r="D16" s="23">
        <v>1.2E-2</v>
      </c>
      <c r="E16" s="23">
        <v>0.01</v>
      </c>
      <c r="F16" s="23">
        <v>0.01</v>
      </c>
      <c r="G16" s="23">
        <v>0.01</v>
      </c>
      <c r="I16" s="26" t="s">
        <v>105</v>
      </c>
    </row>
    <row r="17" spans="1:9" x14ac:dyDescent="0.35">
      <c r="A17" s="3" t="s">
        <v>48</v>
      </c>
      <c r="C17" s="23">
        <v>0.12</v>
      </c>
      <c r="D17" s="23">
        <v>0.12</v>
      </c>
      <c r="E17" s="23">
        <v>0.11</v>
      </c>
      <c r="F17" s="23">
        <v>0.1</v>
      </c>
      <c r="G17" s="23">
        <v>0.1</v>
      </c>
      <c r="I17" s="26" t="s">
        <v>106</v>
      </c>
    </row>
    <row r="18" spans="1:9" x14ac:dyDescent="0.35">
      <c r="A18" s="3" t="s">
        <v>49</v>
      </c>
      <c r="C18" s="23">
        <v>0.22</v>
      </c>
      <c r="D18" s="23">
        <v>0.22</v>
      </c>
      <c r="E18" s="23">
        <v>0.22</v>
      </c>
      <c r="F18" s="23">
        <v>0.22</v>
      </c>
      <c r="G18" s="23">
        <v>0.22</v>
      </c>
      <c r="I18" s="26" t="s">
        <v>107</v>
      </c>
    </row>
    <row r="20" spans="1:9" x14ac:dyDescent="0.35">
      <c r="A20" s="6" t="s">
        <v>50</v>
      </c>
      <c r="B20" s="7"/>
      <c r="C20" s="7"/>
      <c r="D20" s="7"/>
      <c r="E20" s="7"/>
      <c r="F20" s="7"/>
      <c r="G20" s="7"/>
      <c r="H20" s="7"/>
      <c r="I20" s="29"/>
    </row>
    <row r="21" spans="1:9" x14ac:dyDescent="0.35">
      <c r="A21" s="3" t="s">
        <v>51</v>
      </c>
      <c r="C21" s="23">
        <v>4.3900000000000002E-2</v>
      </c>
      <c r="I21" s="26" t="s">
        <v>108</v>
      </c>
    </row>
    <row r="22" spans="1:9" x14ac:dyDescent="0.35">
      <c r="A22" s="3" t="s">
        <v>52</v>
      </c>
      <c r="C22" s="23">
        <v>0.05</v>
      </c>
      <c r="I22" s="26" t="s">
        <v>109</v>
      </c>
    </row>
    <row r="23" spans="1:9" x14ac:dyDescent="0.35">
      <c r="A23" s="3" t="s">
        <v>53</v>
      </c>
      <c r="C23" s="56">
        <f>Beta!B17</f>
        <v>0.64617349650533085</v>
      </c>
      <c r="I23" s="26" t="s">
        <v>110</v>
      </c>
    </row>
    <row r="24" spans="1:9" x14ac:dyDescent="0.35">
      <c r="A24" s="3" t="s">
        <v>54</v>
      </c>
      <c r="C24" s="23">
        <f>C21+C23*C22</f>
        <v>7.6208674825266554E-2</v>
      </c>
      <c r="I24" s="26" t="s">
        <v>111</v>
      </c>
    </row>
    <row r="25" spans="1:9" x14ac:dyDescent="0.35">
      <c r="A25" s="3" t="s">
        <v>55</v>
      </c>
      <c r="C25" s="23">
        <v>5.5E-2</v>
      </c>
      <c r="I25" s="26" t="s">
        <v>112</v>
      </c>
    </row>
    <row r="26" spans="1:9" x14ac:dyDescent="0.35">
      <c r="A26" s="3" t="s">
        <v>56</v>
      </c>
      <c r="C26" s="23">
        <v>0.22</v>
      </c>
      <c r="I26" s="26" t="s">
        <v>113</v>
      </c>
    </row>
    <row r="27" spans="1:9" x14ac:dyDescent="0.35">
      <c r="A27" s="3" t="s">
        <v>57</v>
      </c>
      <c r="C27" s="23">
        <f>C25*(1-C26)</f>
        <v>4.2900000000000001E-2</v>
      </c>
      <c r="I27" s="26" t="s">
        <v>114</v>
      </c>
    </row>
    <row r="28" spans="1:9" x14ac:dyDescent="0.35">
      <c r="A28" s="3" t="s">
        <v>58</v>
      </c>
      <c r="C28" s="23">
        <f>(C34*Historicals!G30)/(C34*Historicals!G30+Historicals!G28)</f>
        <v>0.94441118617976572</v>
      </c>
      <c r="I28" s="26" t="s">
        <v>115</v>
      </c>
    </row>
    <row r="29" spans="1:9" x14ac:dyDescent="0.35">
      <c r="A29" s="3" t="s">
        <v>59</v>
      </c>
      <c r="C29" s="10">
        <f>1-C28</f>
        <v>5.5588813820234284E-2</v>
      </c>
      <c r="I29" s="26" t="s">
        <v>116</v>
      </c>
    </row>
    <row r="30" spans="1:9" x14ac:dyDescent="0.35">
      <c r="A30" s="4" t="s">
        <v>153</v>
      </c>
      <c r="C30" s="12">
        <f>C24*C28+C27*C29</f>
        <v>7.4357085101806081E-2</v>
      </c>
      <c r="I30" s="26" t="s">
        <v>117</v>
      </c>
    </row>
    <row r="32" spans="1:9" x14ac:dyDescent="0.35">
      <c r="A32" s="6" t="s">
        <v>61</v>
      </c>
      <c r="B32" s="7"/>
      <c r="C32" s="7"/>
      <c r="D32" s="7"/>
      <c r="E32" s="7"/>
      <c r="F32" s="7"/>
      <c r="G32" s="7"/>
      <c r="H32" s="7"/>
      <c r="I32" s="29"/>
    </row>
    <row r="33" spans="1:9" x14ac:dyDescent="0.35">
      <c r="A33" s="3" t="s">
        <v>2</v>
      </c>
      <c r="C33" s="23">
        <v>2.5000000000000001E-2</v>
      </c>
      <c r="I33" s="26" t="s">
        <v>118</v>
      </c>
    </row>
    <row r="34" spans="1:9" x14ac:dyDescent="0.35">
      <c r="A34" s="3" t="s">
        <v>62</v>
      </c>
      <c r="C34" s="24">
        <v>89.1</v>
      </c>
      <c r="I34" s="26" t="s">
        <v>119</v>
      </c>
    </row>
    <row r="35" spans="1:9" x14ac:dyDescent="0.35">
      <c r="A35" s="3" t="s">
        <v>63</v>
      </c>
      <c r="C35" s="25">
        <v>46262</v>
      </c>
      <c r="I35" s="26" t="s">
        <v>120</v>
      </c>
    </row>
    <row r="39" spans="1:9" x14ac:dyDescent="0.35">
      <c r="A39" s="24"/>
      <c r="B39" s="23"/>
    </row>
    <row r="40" spans="1:9" x14ac:dyDescent="0.35">
      <c r="A40" s="24"/>
      <c r="B40" s="23"/>
    </row>
    <row r="41" spans="1:9" x14ac:dyDescent="0.35">
      <c r="A41" s="24"/>
      <c r="B41" s="23"/>
    </row>
    <row r="42" spans="1:9" x14ac:dyDescent="0.35">
      <c r="A42" s="24"/>
      <c r="B42" s="23"/>
    </row>
    <row r="43" spans="1:9" x14ac:dyDescent="0.35">
      <c r="A43" s="24"/>
      <c r="B43" s="23"/>
    </row>
    <row r="44" spans="1:9" x14ac:dyDescent="0.35">
      <c r="A44" s="24"/>
      <c r="B44" s="23"/>
    </row>
    <row r="45" spans="1:9" x14ac:dyDescent="0.35">
      <c r="A45" s="24"/>
      <c r="B45" s="23"/>
    </row>
    <row r="46" spans="1:9" x14ac:dyDescent="0.35">
      <c r="A46" s="24"/>
      <c r="B46" s="23"/>
    </row>
    <row r="47" spans="1:9" x14ac:dyDescent="0.35">
      <c r="A47" s="24"/>
      <c r="B47" s="24"/>
    </row>
    <row r="48" spans="1:9" x14ac:dyDescent="0.35">
      <c r="A48" s="24"/>
      <c r="B48" s="25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showGridLines="0" zoomScaleNormal="100" workbookViewId="0">
      <selection activeCell="C10" sqref="C10"/>
    </sheetView>
  </sheetViews>
  <sheetFormatPr defaultColWidth="8.6328125" defaultRowHeight="14.5" x14ac:dyDescent="0.35"/>
  <cols>
    <col min="1" max="1" width="42" customWidth="1"/>
    <col min="2" max="2" width="2" customWidth="1"/>
    <col min="3" max="7" width="12" customWidth="1"/>
  </cols>
  <sheetData>
    <row r="1" spans="1:7" ht="16.5" x14ac:dyDescent="0.35">
      <c r="A1" s="1" t="s">
        <v>64</v>
      </c>
    </row>
    <row r="2" spans="1:7" x14ac:dyDescent="0.35">
      <c r="A2" s="2" t="s">
        <v>123</v>
      </c>
    </row>
    <row r="4" spans="1:7" x14ac:dyDescent="0.35">
      <c r="A4" s="4" t="s">
        <v>0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</row>
    <row r="6" spans="1:7" x14ac:dyDescent="0.35">
      <c r="A6" s="3" t="s">
        <v>1</v>
      </c>
      <c r="C6" s="13">
        <f>Historicals!$G$7*(1+Assumptions!C7)</f>
        <v>11172.449999999999</v>
      </c>
      <c r="D6" s="13">
        <f>C6*(1+Assumptions!D7)</f>
        <v>11675.210249999998</v>
      </c>
      <c r="E6" s="13">
        <f>D6*(1+Assumptions!E7)</f>
        <v>12165.569080499999</v>
      </c>
      <c r="F6" s="13">
        <f>E6*(1+Assumptions!F7)</f>
        <v>12652.19184372</v>
      </c>
      <c r="G6" s="13">
        <f>F6*(1+Assumptions!G7)</f>
        <v>13132.975133781361</v>
      </c>
    </row>
    <row r="7" spans="1:7" x14ac:dyDescent="0.35">
      <c r="A7" s="3" t="s">
        <v>9</v>
      </c>
      <c r="C7" s="13">
        <f>Historicals!$G$8*(1+Assumptions!C8)</f>
        <v>4331.8900000000003</v>
      </c>
      <c r="D7" s="13">
        <f>C7*(1+Assumptions!D8)</f>
        <v>4765.0790000000006</v>
      </c>
      <c r="E7" s="13">
        <f>D7*(1+Assumptions!E8)</f>
        <v>5336.8884800000014</v>
      </c>
      <c r="F7" s="13">
        <f>E7*(1+Assumptions!F8)</f>
        <v>5550.3640192000021</v>
      </c>
      <c r="G7" s="13">
        <f>F7*(1+Assumptions!G8)</f>
        <v>5744.6267598720015</v>
      </c>
    </row>
    <row r="8" spans="1:7" x14ac:dyDescent="0.35">
      <c r="A8" s="3" t="s">
        <v>11</v>
      </c>
      <c r="C8" s="9">
        <f>C6+C7</f>
        <v>15504.34</v>
      </c>
      <c r="D8" s="9">
        <f>D6+D7</f>
        <v>16440.289249999998</v>
      </c>
      <c r="E8" s="9">
        <f>E6+E7</f>
        <v>17502.457560499999</v>
      </c>
      <c r="F8" s="9">
        <f>F6+F7</f>
        <v>18202.555862920002</v>
      </c>
      <c r="G8" s="9">
        <f>G6+G7</f>
        <v>18877.601893653362</v>
      </c>
    </row>
    <row r="9" spans="1:7" x14ac:dyDescent="0.35">
      <c r="A9" s="3" t="s">
        <v>12</v>
      </c>
      <c r="C9" s="9">
        <f>C8-C10</f>
        <v>9070.0388999999996</v>
      </c>
      <c r="D9" s="9">
        <f>D8-D10</f>
        <v>9584.6886327499997</v>
      </c>
      <c r="E9" s="9">
        <f>E8-E10</f>
        <v>10151.425385089999</v>
      </c>
      <c r="F9" s="9">
        <f>F8-F10</f>
        <v>10539.279844630681</v>
      </c>
      <c r="G9" s="9">
        <f>G8-G10</f>
        <v>10911.253894531645</v>
      </c>
    </row>
    <row r="10" spans="1:7" x14ac:dyDescent="0.35">
      <c r="A10" s="3" t="s">
        <v>13</v>
      </c>
      <c r="C10" s="9">
        <f>C8*Assumptions!C11</f>
        <v>6434.3010999999997</v>
      </c>
      <c r="D10" s="9">
        <f>D8*Assumptions!D11</f>
        <v>6855.6006172499992</v>
      </c>
      <c r="E10" s="9">
        <f>E8*Assumptions!E11</f>
        <v>7351.0321754099996</v>
      </c>
      <c r="F10" s="9">
        <f>F8*Assumptions!F11</f>
        <v>7663.2760182893207</v>
      </c>
      <c r="G10" s="9">
        <f>G8*Assumptions!G11</f>
        <v>7966.3479991217182</v>
      </c>
    </row>
    <row r="11" spans="1:7" x14ac:dyDescent="0.35">
      <c r="A11" s="3" t="s">
        <v>14</v>
      </c>
      <c r="C11" s="10">
        <f>IFERROR(C10/C8,"")</f>
        <v>0.41499999999999998</v>
      </c>
      <c r="D11" s="10">
        <f>IFERROR(D10/D8,"")</f>
        <v>0.41699999999999998</v>
      </c>
      <c r="E11" s="10">
        <f>IFERROR(E10/E8,"")</f>
        <v>0.42</v>
      </c>
      <c r="F11" s="10">
        <f>IFERROR(F10/F8,"")</f>
        <v>0.42099999999999999</v>
      </c>
      <c r="G11" s="10">
        <f>IFERROR(G10/G8,"")</f>
        <v>0.42199999999999999</v>
      </c>
    </row>
    <row r="12" spans="1:7" x14ac:dyDescent="0.35">
      <c r="A12" s="3" t="s">
        <v>15</v>
      </c>
      <c r="C12" s="9">
        <f>C8*Assumptions!C12</f>
        <v>5007.90182</v>
      </c>
      <c r="D12" s="9">
        <f>D8*Assumptions!D12</f>
        <v>5228.0119814999998</v>
      </c>
      <c r="E12" s="9">
        <f>E8*Assumptions!E12</f>
        <v>5443.2643013154993</v>
      </c>
      <c r="F12" s="9">
        <f>F8*Assumptions!F12</f>
        <v>5624.5897616422808</v>
      </c>
      <c r="G12" s="9">
        <f>G8*Assumptions!G12</f>
        <v>5814.3013832452352</v>
      </c>
    </row>
    <row r="13" spans="1:7" x14ac:dyDescent="0.35">
      <c r="A13" s="3" t="s">
        <v>16</v>
      </c>
      <c r="C13" s="9">
        <f>C10-C12</f>
        <v>1426.3992799999996</v>
      </c>
      <c r="D13" s="9">
        <f>D10-D12</f>
        <v>1627.5886357499994</v>
      </c>
      <c r="E13" s="9">
        <f>E10-E12</f>
        <v>1907.7678740945003</v>
      </c>
      <c r="F13" s="9">
        <f>F10-F12</f>
        <v>2038.68625664704</v>
      </c>
      <c r="G13" s="9">
        <f>G10-G12</f>
        <v>2152.046615876483</v>
      </c>
    </row>
    <row r="14" spans="1:7" x14ac:dyDescent="0.35">
      <c r="A14" s="3" t="s">
        <v>17</v>
      </c>
      <c r="C14" s="10">
        <f>IFERROR(C13/C8,"")</f>
        <v>9.1999999999999971E-2</v>
      </c>
      <c r="D14" s="10">
        <f>IFERROR(D13/D8,"")</f>
        <v>9.8999999999999977E-2</v>
      </c>
      <c r="E14" s="10">
        <f>IFERROR(E13/E8,"")</f>
        <v>0.10900000000000001</v>
      </c>
      <c r="F14" s="10">
        <f>IFERROR(F13/F8,"")</f>
        <v>0.11199999999999999</v>
      </c>
      <c r="G14" s="10">
        <f>IFERROR(G13/G8,"")</f>
        <v>0.11399999999999999</v>
      </c>
    </row>
    <row r="15" spans="1:7" x14ac:dyDescent="0.35">
      <c r="A15" s="3" t="s">
        <v>18</v>
      </c>
      <c r="C15" s="9">
        <f>C8*Assumptions!C13</f>
        <v>170.54774</v>
      </c>
      <c r="D15" s="9">
        <f>D8*Assumptions!D13</f>
        <v>180.84318174999996</v>
      </c>
      <c r="E15" s="9">
        <f>E8*Assumptions!E13</f>
        <v>192.52703316549997</v>
      </c>
      <c r="F15" s="9">
        <f>F8*Assumptions!F13</f>
        <v>200.22811449212</v>
      </c>
      <c r="G15" s="9">
        <f>G8*Assumptions!G13</f>
        <v>207.65362083018698</v>
      </c>
    </row>
    <row r="16" spans="1:7" s="35" customFormat="1" x14ac:dyDescent="0.35">
      <c r="A16" s="4" t="s">
        <v>19</v>
      </c>
      <c r="C16" s="36">
        <f>C13-C15</f>
        <v>1255.8515399999997</v>
      </c>
      <c r="D16" s="36">
        <f>D13-D15</f>
        <v>1446.7454539999994</v>
      </c>
      <c r="E16" s="36">
        <f>E13-E15</f>
        <v>1715.2408409290003</v>
      </c>
      <c r="F16" s="36">
        <f>F13-F15</f>
        <v>1838.4581421549199</v>
      </c>
      <c r="G16" s="36">
        <f>G13-G15</f>
        <v>1944.3929950462959</v>
      </c>
    </row>
    <row r="17" spans="1:7" x14ac:dyDescent="0.35">
      <c r="A17" s="3" t="s">
        <v>20</v>
      </c>
      <c r="C17" s="10">
        <f>IFERROR(C16/C8,"")</f>
        <v>8.0999999999999975E-2</v>
      </c>
      <c r="D17" s="10">
        <f>IFERROR(D16/D8,"")</f>
        <v>8.7999999999999981E-2</v>
      </c>
      <c r="E17" s="10">
        <f>IFERROR(E16/E8,"")</f>
        <v>9.8000000000000032E-2</v>
      </c>
      <c r="F17" s="10">
        <f>IFERROR(F16/F8,"")</f>
        <v>0.10099999999999998</v>
      </c>
      <c r="G17" s="10">
        <f>IFERROR(G16/G8,"")</f>
        <v>0.10299999999999998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4"/>
  <sheetViews>
    <sheetView showGridLines="0" topLeftCell="A15" zoomScaleNormal="100" workbookViewId="0">
      <selection activeCell="C19" sqref="C19"/>
    </sheetView>
  </sheetViews>
  <sheetFormatPr defaultColWidth="8.6328125" defaultRowHeight="14.5" x14ac:dyDescent="0.35"/>
  <cols>
    <col min="1" max="1" width="46" customWidth="1"/>
    <col min="2" max="2" width="2" customWidth="1"/>
    <col min="3" max="7" width="13" customWidth="1"/>
  </cols>
  <sheetData>
    <row r="1" spans="1:7" ht="16.5" x14ac:dyDescent="0.35">
      <c r="A1" s="1" t="s">
        <v>65</v>
      </c>
    </row>
    <row r="2" spans="1:7" x14ac:dyDescent="0.35">
      <c r="A2" s="2" t="s">
        <v>124</v>
      </c>
    </row>
    <row r="4" spans="1:7" x14ac:dyDescent="0.35">
      <c r="A4" s="4" t="s">
        <v>0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</row>
    <row r="6" spans="1:7" x14ac:dyDescent="0.35">
      <c r="A6" s="3" t="s">
        <v>19</v>
      </c>
      <c r="C6" s="13">
        <f>Forecast!C16</f>
        <v>1255.8515399999997</v>
      </c>
      <c r="D6" s="13">
        <f>Forecast!D16</f>
        <v>1446.7454539999994</v>
      </c>
      <c r="E6" s="13">
        <f>Forecast!E16</f>
        <v>1715.2408409290003</v>
      </c>
      <c r="F6" s="13">
        <f>Forecast!F16</f>
        <v>1838.4581421549199</v>
      </c>
      <c r="G6" s="13">
        <f>Forecast!G16</f>
        <v>1944.3929950462959</v>
      </c>
    </row>
    <row r="7" spans="1:7" x14ac:dyDescent="0.35">
      <c r="A7" s="3" t="s">
        <v>49</v>
      </c>
      <c r="C7" s="14">
        <f>Assumptions!C18</f>
        <v>0.22</v>
      </c>
      <c r="D7" s="14">
        <f>Assumptions!D18</f>
        <v>0.22</v>
      </c>
      <c r="E7" s="14">
        <f>Assumptions!E18</f>
        <v>0.22</v>
      </c>
      <c r="F7" s="14">
        <f>Assumptions!F18</f>
        <v>0.22</v>
      </c>
      <c r="G7" s="14">
        <f>Assumptions!G18</f>
        <v>0.22</v>
      </c>
    </row>
    <row r="8" spans="1:7" x14ac:dyDescent="0.35">
      <c r="A8" s="3" t="s">
        <v>66</v>
      </c>
      <c r="C8" s="9">
        <f>-C6*C7</f>
        <v>-276.28733879999993</v>
      </c>
      <c r="D8" s="9">
        <f>-D6*D7</f>
        <v>-318.2839998799999</v>
      </c>
      <c r="E8" s="9">
        <f>-E6*E7</f>
        <v>-377.35298500438006</v>
      </c>
      <c r="F8" s="9">
        <f>-F6*F7</f>
        <v>-404.4607912740824</v>
      </c>
      <c r="G8" s="9">
        <f>-G6*G7</f>
        <v>-427.76645891018512</v>
      </c>
    </row>
    <row r="9" spans="1:7" x14ac:dyDescent="0.35">
      <c r="A9" s="3" t="s">
        <v>67</v>
      </c>
      <c r="C9" s="9">
        <f>C6+C8</f>
        <v>979.56420119999973</v>
      </c>
      <c r="D9" s="9">
        <f>D6+D8</f>
        <v>1128.4614541199994</v>
      </c>
      <c r="E9" s="9">
        <f>E6+E8</f>
        <v>1337.8878559246202</v>
      </c>
      <c r="F9" s="9">
        <f>F6+F8</f>
        <v>1433.9973508808375</v>
      </c>
      <c r="G9" s="9">
        <f>G6+G8</f>
        <v>1516.6265361361109</v>
      </c>
    </row>
    <row r="10" spans="1:7" x14ac:dyDescent="0.35">
      <c r="A10" s="3" t="s">
        <v>130</v>
      </c>
      <c r="C10" s="13">
        <f>Forecast!C15</f>
        <v>170.54774</v>
      </c>
      <c r="D10" s="13">
        <f>Forecast!D15</f>
        <v>180.84318174999996</v>
      </c>
      <c r="E10" s="13">
        <f>Forecast!E15</f>
        <v>192.52703316549997</v>
      </c>
      <c r="F10" s="13">
        <f>Forecast!F15</f>
        <v>200.22811449212</v>
      </c>
      <c r="G10" s="13">
        <f>Forecast!G15</f>
        <v>207.65362083018698</v>
      </c>
    </row>
    <row r="11" spans="1:7" x14ac:dyDescent="0.35">
      <c r="A11" s="3" t="s">
        <v>68</v>
      </c>
      <c r="C11" s="9">
        <f>-Forecast!C8*Assumptions!C16</f>
        <v>-201.55642</v>
      </c>
      <c r="D11" s="9">
        <f>-Forecast!D8*Assumptions!D16</f>
        <v>-197.28347099999999</v>
      </c>
      <c r="E11" s="9">
        <f>-Forecast!E8*Assumptions!E16</f>
        <v>-175.024575605</v>
      </c>
      <c r="F11" s="9">
        <f>-Forecast!F8*Assumptions!F16</f>
        <v>-182.02555862920002</v>
      </c>
      <c r="G11" s="9">
        <f>-Forecast!G8*Assumptions!G16</f>
        <v>-188.77601893653363</v>
      </c>
    </row>
    <row r="12" spans="1:7" x14ac:dyDescent="0.35">
      <c r="A12" s="3" t="s">
        <v>69</v>
      </c>
      <c r="C12" s="9">
        <f>-(Forecast!C8-Historicals!$G$10)*Assumptions!C17</f>
        <v>-75.160800000000009</v>
      </c>
      <c r="D12" s="9">
        <f>-(Forecast!D8-Forecast!C8)*Assumptions!D17</f>
        <v>-112.31390999999974</v>
      </c>
      <c r="E12" s="9">
        <f>-(Forecast!E8-Forecast!D8)*Assumptions!E17</f>
        <v>-116.83851415500013</v>
      </c>
      <c r="F12" s="9">
        <f>-(Forecast!F8-Forecast!E8)*Assumptions!F17</f>
        <v>-70.009830242000319</v>
      </c>
      <c r="G12" s="9">
        <f>-(Forecast!G8-Forecast!F8)*Assumptions!G17</f>
        <v>-67.504603073335971</v>
      </c>
    </row>
    <row r="13" spans="1:7" s="35" customFormat="1" x14ac:dyDescent="0.35">
      <c r="A13" s="4" t="s">
        <v>70</v>
      </c>
      <c r="C13" s="36">
        <f>C9+C10+C11+C12</f>
        <v>873.39472119999982</v>
      </c>
      <c r="D13" s="36">
        <f>D9+D10+D11+D12</f>
        <v>999.7072548699997</v>
      </c>
      <c r="E13" s="36">
        <f>E9+E10+E11+E12</f>
        <v>1238.55179933012</v>
      </c>
      <c r="F13" s="36">
        <f>F9+F10+F11+F12</f>
        <v>1382.1900765017572</v>
      </c>
      <c r="G13" s="36">
        <f>G9+G10+G11+G12</f>
        <v>1467.9995349564283</v>
      </c>
    </row>
    <row r="14" spans="1:7" x14ac:dyDescent="0.35">
      <c r="A14" s="3" t="s">
        <v>71</v>
      </c>
      <c r="C14" s="15">
        <v>1</v>
      </c>
      <c r="D14" s="15">
        <v>2</v>
      </c>
      <c r="E14" s="15">
        <v>3</v>
      </c>
      <c r="F14" s="15">
        <v>4</v>
      </c>
      <c r="G14" s="15">
        <v>5</v>
      </c>
    </row>
    <row r="15" spans="1:7" x14ac:dyDescent="0.35">
      <c r="A15" s="3" t="s">
        <v>72</v>
      </c>
      <c r="C15" s="15">
        <f>IFERROR(1/(1+Assumptions!$C$30)^C14,"")</f>
        <v>0.93078922628898564</v>
      </c>
      <c r="D15" s="15">
        <f>IFERROR(1/(1+Assumptions!$C$30)^D14,"")</f>
        <v>0.86636858377564863</v>
      </c>
      <c r="E15" s="15">
        <f>IFERROR(1/(1+Assumptions!$C$30)^E14,"")</f>
        <v>0.8064065437736202</v>
      </c>
      <c r="F15" s="15">
        <f>IFERROR(1/(1+Assumptions!$C$30)^F14,"")</f>
        <v>0.7505945229534231</v>
      </c>
      <c r="G15" s="15">
        <f>IFERROR(1/(1+Assumptions!$C$30)^G14,"")</f>
        <v>0.69864529527656694</v>
      </c>
    </row>
    <row r="16" spans="1:7" x14ac:dyDescent="0.35">
      <c r="A16" s="3" t="s">
        <v>73</v>
      </c>
      <c r="C16" s="9">
        <f>IFERROR(C13*C15,"")</f>
        <v>812.94639679063221</v>
      </c>
      <c r="D16" s="9">
        <f>IFERROR(D13*D15,"")</f>
        <v>866.11495859196305</v>
      </c>
      <c r="E16" s="9">
        <f>IFERROR(E13*E15,"")</f>
        <v>998.77627578240049</v>
      </c>
      <c r="F16" s="9">
        <f>IFERROR(F13*F15,"")</f>
        <v>1037.4643011027918</v>
      </c>
      <c r="G16" s="9">
        <f>IFERROR(G13*G15,"")</f>
        <v>1025.6109685654967</v>
      </c>
    </row>
    <row r="18" spans="1:9" x14ac:dyDescent="0.35">
      <c r="A18" s="6" t="s">
        <v>74</v>
      </c>
      <c r="B18" s="7"/>
      <c r="C18" s="7"/>
      <c r="D18" s="7"/>
      <c r="E18" s="7"/>
      <c r="F18" s="7"/>
      <c r="G18" s="7"/>
      <c r="H18" s="7"/>
      <c r="I18" s="7"/>
    </row>
    <row r="19" spans="1:9" x14ac:dyDescent="0.35">
      <c r="A19" s="3" t="s">
        <v>75</v>
      </c>
      <c r="C19" s="9">
        <f>SUM($C$16:$G$16)</f>
        <v>4740.9129008332839</v>
      </c>
    </row>
    <row r="20" spans="1:9" x14ac:dyDescent="0.35">
      <c r="A20" s="3" t="s">
        <v>76</v>
      </c>
      <c r="C20" s="9">
        <f>G13*(1+Assumptions!C33)/(Assumptions!C30-Assumptions!C33)</f>
        <v>30485.988389036345</v>
      </c>
    </row>
    <row r="21" spans="1:9" x14ac:dyDescent="0.35">
      <c r="A21" s="3" t="s">
        <v>77</v>
      </c>
      <c r="C21" s="9">
        <f>IFERROR(C20*$G$15,"")</f>
        <v>21298.892359856287</v>
      </c>
    </row>
    <row r="22" spans="1:9" x14ac:dyDescent="0.35">
      <c r="A22" s="4" t="s">
        <v>78</v>
      </c>
      <c r="C22" s="16">
        <f>IFERROR(C19+C21,"")</f>
        <v>26039.805260689573</v>
      </c>
    </row>
    <row r="23" spans="1:9" x14ac:dyDescent="0.35">
      <c r="A23" s="3" t="s">
        <v>79</v>
      </c>
      <c r="C23" s="9">
        <f>-Historicals!$G$28</f>
        <v>-858</v>
      </c>
    </row>
    <row r="24" spans="1:9" x14ac:dyDescent="0.35">
      <c r="A24" s="4" t="s">
        <v>80</v>
      </c>
      <c r="C24" s="16">
        <f>IFERROR(C22+C23,"")</f>
        <v>25181.805260689573</v>
      </c>
    </row>
    <row r="25" spans="1:9" x14ac:dyDescent="0.35">
      <c r="A25" s="3" t="s">
        <v>30</v>
      </c>
      <c r="C25" s="9">
        <f>Historicals!$G$30</f>
        <v>163.6</v>
      </c>
    </row>
    <row r="26" spans="1:9" x14ac:dyDescent="0.35">
      <c r="A26" s="4" t="s">
        <v>81</v>
      </c>
      <c r="C26" s="17">
        <f>IFERROR(C24/C25,"")</f>
        <v>153.92301504088982</v>
      </c>
    </row>
    <row r="27" spans="1:9" x14ac:dyDescent="0.35">
      <c r="A27" s="3" t="s">
        <v>62</v>
      </c>
      <c r="C27" s="18">
        <f>Assumptions!C34</f>
        <v>89.1</v>
      </c>
    </row>
    <row r="28" spans="1:9" x14ac:dyDescent="0.35">
      <c r="A28" s="4" t="s">
        <v>82</v>
      </c>
      <c r="C28" s="12">
        <f>IFERROR(C26/C27-1,"")</f>
        <v>0.72753103300661981</v>
      </c>
    </row>
    <row r="29" spans="1:9" x14ac:dyDescent="0.35">
      <c r="A29" s="3" t="s">
        <v>83</v>
      </c>
      <c r="C29" s="10">
        <f>IFERROR(C21/C22,"")</f>
        <v>0.81793593103438822</v>
      </c>
    </row>
    <row r="31" spans="1:9" x14ac:dyDescent="0.35">
      <c r="A31" s="8"/>
    </row>
    <row r="32" spans="1:9" x14ac:dyDescent="0.35">
      <c r="A32" s="8"/>
    </row>
    <row r="33" spans="1:1" x14ac:dyDescent="0.35">
      <c r="A33" s="8"/>
    </row>
    <row r="34" spans="1:1" x14ac:dyDescent="0.35">
      <c r="A34" s="8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showGridLines="0" zoomScaleNormal="100" workbookViewId="0">
      <selection activeCell="F14" sqref="F14"/>
    </sheetView>
  </sheetViews>
  <sheetFormatPr defaultColWidth="8.6328125" defaultRowHeight="14.5" x14ac:dyDescent="0.35"/>
  <cols>
    <col min="1" max="1" width="10" customWidth="1"/>
    <col min="2" max="2" width="12" customWidth="1"/>
    <col min="3" max="7" width="13" customWidth="1"/>
  </cols>
  <sheetData>
    <row r="1" spans="1:7" ht="16.5" x14ac:dyDescent="0.35">
      <c r="A1" s="1" t="s">
        <v>81</v>
      </c>
    </row>
    <row r="2" spans="1:7" x14ac:dyDescent="0.35">
      <c r="A2" s="2" t="s">
        <v>125</v>
      </c>
    </row>
    <row r="4" spans="1:7" x14ac:dyDescent="0.35">
      <c r="C4" s="4" t="s">
        <v>2</v>
      </c>
    </row>
    <row r="5" spans="1:7" x14ac:dyDescent="0.35">
      <c r="A5" s="4" t="s">
        <v>60</v>
      </c>
      <c r="C5" s="19">
        <v>0.01</v>
      </c>
      <c r="D5" s="19">
        <v>1.4999999999999999E-2</v>
      </c>
      <c r="E5" s="19">
        <v>0.02</v>
      </c>
      <c r="F5" s="19">
        <v>2.5000000000000001E-2</v>
      </c>
      <c r="G5" s="19">
        <v>0.03</v>
      </c>
    </row>
    <row r="6" spans="1:7" x14ac:dyDescent="0.35">
      <c r="B6" s="11">
        <v>7.0000000000000007E-2</v>
      </c>
      <c r="C6" s="18">
        <f>IFERROR((NPV($B6,DCF!$C$13:$G$13)+(DCF!$G$13*(1+C$5)/($B6-C$5))/(1+$B6)^5-Historicals!$G$28)/Historicals!$G$30,"n/a")</f>
        <v>131.79969510764298</v>
      </c>
      <c r="D6" s="18">
        <f>IFERROR((NPV($B6,DCF!$C$13:$G$13)+(DCF!$G$13*(1+D$5)/($B6-D$5))/(1+$B6)^5-Historicals!$G$28)/Historicals!$G$30,"n/a")</f>
        <v>142.17172052538629</v>
      </c>
      <c r="E6" s="18">
        <f>IFERROR((NPV($B6,DCF!$C$13:$G$13)+(DCF!$G$13*(1+E$5)/($B6-E$5))/(1+$B6)^5-Historicals!$G$28)/Historicals!$G$30,"n/a")</f>
        <v>154.61815102667828</v>
      </c>
      <c r="F6" s="18">
        <f>IFERROR((NPV($B6,DCF!$C$13:$G$13)+(DCF!$G$13*(1+F$5)/($B6-F$5))/(1+$B6)^5-Historicals!$G$28)/Historicals!$G$30,"n/a")</f>
        <v>169.8304549727018</v>
      </c>
      <c r="G6" s="18">
        <f>IFERROR((NPV($B6,DCF!$C$13:$G$13)+(DCF!$G$13*(1+G$5)/($B6-G$5))/(1+$B6)^5-Historicals!$G$28)/Historicals!$G$30,"n/a")</f>
        <v>188.84583490523124</v>
      </c>
    </row>
    <row r="7" spans="1:7" x14ac:dyDescent="0.35">
      <c r="B7" s="11">
        <v>0.08</v>
      </c>
      <c r="C7" s="18">
        <f>IFERROR((NPV($B7,DCF!$C$13:$G$13)+(DCF!$G$13*(1+C$5)/($B7-C$5))/(1+$B7)^5-Historicals!$G$28)/Historicals!$G$30,"n/a")</f>
        <v>111.37873561152536</v>
      </c>
      <c r="D7" s="18">
        <f>IFERROR((NPV($B7,DCF!$C$13:$G$13)+(DCF!$G$13*(1+D$5)/($B7-D$5))/(1+$B7)^5-Historicals!$G$28)/Historicals!$G$30,"n/a")</f>
        <v>118.62653567388789</v>
      </c>
      <c r="E7" s="18">
        <f>IFERROR((NPV($B7,DCF!$C$13:$G$13)+(DCF!$G$13*(1+E$5)/($B7-E$5))/(1+$B7)^5-Historicals!$G$28)/Historicals!$G$30,"n/a")</f>
        <v>127.08230241331087</v>
      </c>
      <c r="F7" s="18">
        <f>IFERROR((NPV($B7,DCF!$C$13:$G$13)+(DCF!$G$13*(1+F$5)/($B7-F$5))/(1+$B7)^5-Historicals!$G$28)/Historicals!$G$30,"n/a")</f>
        <v>137.07548128717437</v>
      </c>
      <c r="G7" s="18">
        <f>IFERROR((NPV($B7,DCF!$C$13:$G$13)+(DCF!$G$13*(1+G$5)/($B7-G$5))/(1+$B7)^5-Historicals!$G$28)/Historicals!$G$30,"n/a")</f>
        <v>149.06729593581056</v>
      </c>
    </row>
    <row r="8" spans="1:7" x14ac:dyDescent="0.35">
      <c r="B8" s="11">
        <v>0.09</v>
      </c>
      <c r="C8" s="18">
        <f>IFERROR((NPV($B8,DCF!$C$13:$G$13)+(DCF!$G$13*(1+C$5)/($B8-C$5))/(1+$B8)^5-Historicals!$G$28)/Historicals!$G$30,"n/a")</f>
        <v>96.087281152451297</v>
      </c>
      <c r="D8" s="18">
        <f>IFERROR((NPV($B8,DCF!$C$13:$G$13)+(DCF!$G$13*(1+D$5)/($B8-D$5))/(1+$B8)^5-Historicals!$G$28)/Historicals!$G$30,"n/a")</f>
        <v>101.38459105666441</v>
      </c>
      <c r="E8" s="18">
        <f>IFERROR((NPV($B8,DCF!$C$13:$G$13)+(DCF!$G$13*(1+E$5)/($B8-E$5))/(1+$B8)^5-Historicals!$G$28)/Historicals!$G$30,"n/a")</f>
        <v>107.43865951862225</v>
      </c>
      <c r="F8" s="18">
        <f>IFERROR((NPV($B8,DCF!$C$13:$G$13)+(DCF!$G$13*(1+F$5)/($B8-F$5))/(1+$B8)^5-Historicals!$G$28)/Historicals!$G$30,"n/a")</f>
        <v>114.42412312857358</v>
      </c>
      <c r="G8" s="18">
        <f>IFERROR((NPV($B8,DCF!$C$13:$G$13)+(DCF!$G$13*(1+G$5)/($B8-G$5))/(1+$B8)^5-Historicals!$G$28)/Historicals!$G$30,"n/a")</f>
        <v>122.57383067351685</v>
      </c>
    </row>
    <row r="9" spans="1:7" x14ac:dyDescent="0.35">
      <c r="B9" s="11">
        <v>0.1</v>
      </c>
      <c r="C9" s="18">
        <f>IFERROR((NPV($B9,DCF!$C$13:$G$13)+(DCF!$G$13*(1+C$5)/($B9-C$5))/(1+$B9)^5-Historicals!$G$28)/Historicals!$G$30,"n/a")</f>
        <v>84.214554365596101</v>
      </c>
      <c r="D9" s="18">
        <f>IFERROR((NPV($B9,DCF!$C$13:$G$13)+(DCF!$G$13*(1+D$5)/($B9-D$5))/(1+$B9)^5-Historicals!$G$28)/Historicals!$G$30,"n/a")</f>
        <v>88.220273059544795</v>
      </c>
      <c r="E9" s="18">
        <f>IFERROR((NPV($B9,DCF!$C$13:$G$13)+(DCF!$G$13*(1+E$5)/($B9-E$5))/(1+$B9)^5-Historicals!$G$28)/Historicals!$G$30,"n/a")</f>
        <v>92.726706590237058</v>
      </c>
      <c r="F9" s="18">
        <f>IFERROR((NPV($B9,DCF!$C$13:$G$13)+(DCF!$G$13*(1+F$5)/($B9-F$5))/(1+$B9)^5-Historicals!$G$28)/Historicals!$G$30,"n/a")</f>
        <v>97.833997925021649</v>
      </c>
      <c r="G9" s="18">
        <f>IFERROR((NPV($B9,DCF!$C$13:$G$13)+(DCF!$G$13*(1+G$5)/($B9-G$5))/(1+$B9)^5-Historicals!$G$28)/Historicals!$G$30,"n/a")</f>
        <v>103.67090230763257</v>
      </c>
    </row>
    <row r="10" spans="1:7" x14ac:dyDescent="0.35">
      <c r="B10" s="11">
        <v>0.11</v>
      </c>
      <c r="C10" s="18">
        <f>IFERROR((NPV($B10,DCF!$C$13:$G$13)+(DCF!$G$13*(1+C$5)/($B10-C$5))/(1+$B10)^5-Historicals!$G$28)/Historicals!$G$30,"n/a")</f>
        <v>74.734134348872672</v>
      </c>
      <c r="D10" s="18">
        <f>IFERROR((NPV($B10,DCF!$C$13:$G$13)+(DCF!$G$13*(1+D$5)/($B10-D$5))/(1+$B10)^5-Historicals!$G$28)/Historicals!$G$30,"n/a")</f>
        <v>77.845113514058141</v>
      </c>
      <c r="E10" s="18">
        <f>IFERROR((NPV($B10,DCF!$C$13:$G$13)+(DCF!$G$13*(1+E$5)/($B10-E$5))/(1+$B10)^5-Historicals!$G$28)/Historicals!$G$30,"n/a")</f>
        <v>81.301757030930915</v>
      </c>
      <c r="F10" s="18">
        <f>IFERROR((NPV($B10,DCF!$C$13:$G$13)+(DCF!$G$13*(1+F$5)/($B10-F$5))/(1+$B10)^5-Historicals!$G$28)/Historicals!$G$30,"n/a")</f>
        <v>85.165064490965165</v>
      </c>
      <c r="G10" s="18">
        <f>IFERROR((NPV($B10,DCF!$C$13:$G$13)+(DCF!$G$13*(1+G$5)/($B10-G$5))/(1+$B10)^5-Historicals!$G$28)/Historicals!$G$30,"n/a")</f>
        <v>89.511285383503719</v>
      </c>
    </row>
    <row r="13" spans="1:7" x14ac:dyDescent="0.35">
      <c r="A13" s="8"/>
    </row>
    <row r="14" spans="1:7" x14ac:dyDescent="0.35">
      <c r="A14" s="8"/>
    </row>
    <row r="15" spans="1:7" x14ac:dyDescent="0.35">
      <c r="A15" s="8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Historicals</vt:lpstr>
      <vt:lpstr>Price Data</vt:lpstr>
      <vt:lpstr>Beta</vt:lpstr>
      <vt:lpstr>Assumptions</vt:lpstr>
      <vt:lpstr>Forecast</vt:lpstr>
      <vt:lpstr>DCF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Sheikh Asadur Rahman</cp:lastModifiedBy>
  <cp:revision>0</cp:revision>
  <dcterms:created xsi:type="dcterms:W3CDTF">2026-08-31T20:10:10Z</dcterms:created>
  <dcterms:modified xsi:type="dcterms:W3CDTF">2026-09-01T19:50:51Z</dcterms:modified>
  <dc:language>en-US</dc:language>
</cp:coreProperties>
</file>